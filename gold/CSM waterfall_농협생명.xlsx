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9E48A663-96C1-4E50-979C-E685D6CADF4A}" xr6:coauthVersionLast="47" xr6:coauthVersionMax="47" xr10:uidLastSave="{00000000-0000-0000-0000-000000000000}"/>
  <bookViews>
    <workbookView xWindow="-98" yWindow="-98" windowWidth="21795" windowHeight="12975" xr2:uid="{3CD259B9-5A78-42E0-B669-107C3DC53255}"/>
  </bookViews>
  <sheets>
    <sheet name="Sheet2" sheetId="2" r:id="rId1"/>
    <sheet name="부문별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/>
  <c r="H6" i="2"/>
  <c r="H4" i="2"/>
  <c r="H3" i="2"/>
  <c r="H2" i="2"/>
  <c r="H5" i="2" l="1"/>
</calcChain>
</file>

<file path=xl/sharedStrings.xml><?xml version="1.0" encoding="utf-8"?>
<sst xmlns="http://schemas.openxmlformats.org/spreadsheetml/2006/main" count="286" uniqueCount="61">
  <si>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</si>
  <si>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</si>
  <si>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</si>
  <si>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</si>
  <si>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</si>
  <si>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</si>
  <si>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</si>
  <si>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</si>
  <si>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</si>
  <si>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</si>
  <si>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</si>
  <si>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</si>
  <si>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</si>
  <si>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</si>
  <si>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생명보험</t>
    <phoneticPr fontId="2" type="noConversion"/>
  </si>
  <si>
    <t>금액</t>
    <phoneticPr fontId="2" type="noConversion"/>
  </si>
  <si>
    <t>미래현금흐름의</t>
  </si>
  <si>
    <t>현재가치 추정치</t>
  </si>
  <si>
    <t>-</t>
  </si>
  <si>
    <t>비금융위험에</t>
  </si>
  <si>
    <t>합계</t>
  </si>
  <si>
    <t>(9-1-2) 측정요소별 변동내역</t>
  </si>
  <si>
    <t>① 유배당보험</t>
  </si>
  <si>
    <t>&lt;당기&gt;</t>
  </si>
  <si>
    <t>(단위 : 백만원)</t>
  </si>
  <si>
    <t>구분</t>
  </si>
  <si>
    <t>대한</t>
  </si>
  <si>
    <t>위험조정</t>
  </si>
  <si>
    <t>전환 시점 수정소급법</t>
  </si>
  <si>
    <t>적용 보험계약</t>
  </si>
  <si>
    <t>전환 시점 공정가치법</t>
  </si>
  <si>
    <t>그 밖의 모든 계약</t>
  </si>
  <si>
    <t>소계</t>
  </si>
  <si>
    <t>기초 보험계약순부채(자산)</t>
  </si>
  <si>
    <t>기초 보험계약부채</t>
  </si>
  <si>
    <t>기초 보험계약자산</t>
  </si>
  <si>
    <t>소 계</t>
  </si>
  <si>
    <t>미래서비스와 관련된 변동</t>
  </si>
  <si>
    <t>최초인식계약</t>
  </si>
  <si>
    <t>현행서비스와 관련된 변동</t>
  </si>
  <si>
    <t>보험계약마진 상각</t>
  </si>
  <si>
    <t>위험조정 변동</t>
  </si>
  <si>
    <t>경험조정</t>
  </si>
  <si>
    <t>과거서비스와 관련된 변동</t>
  </si>
  <si>
    <t>발생사고부채 추정 변동</t>
  </si>
  <si>
    <t>보험금융손익</t>
  </si>
  <si>
    <t>당기손익인식</t>
  </si>
  <si>
    <t>기타포괄손익인식</t>
  </si>
  <si>
    <t>현금흐름</t>
  </si>
  <si>
    <t>보험료 수취</t>
  </si>
  <si>
    <t>보험취득 현금흐름 지급</t>
  </si>
  <si>
    <t>기타증감</t>
  </si>
  <si>
    <t>기말 보험계약순부채(자산)</t>
  </si>
  <si>
    <t>기말 보험계약부채</t>
  </si>
  <si>
    <t>기말 보험계약자산</t>
  </si>
  <si>
    <t>② 무배당보험</t>
  </si>
  <si>
    <t>2025.4Q</t>
    <phoneticPr fontId="2" type="noConversion"/>
  </si>
  <si>
    <t>농협생명</t>
    <phoneticPr fontId="2" type="noConversion"/>
  </si>
  <si>
    <t>보험계약마진을 조정하는 변동</t>
    <phoneticPr fontId="2" type="noConversion"/>
  </si>
  <si>
    <t>보험계약마진을 조정하지 않는 변동</t>
    <phoneticPr fontId="2" type="noConversion"/>
  </si>
  <si>
    <t>발생보험금 및 기타보험서비스비용 등의 지급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</si>
</sst>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  <font>
      <sz val="10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3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3" fillId="0" borderId="0" xfId="0" applyFont="1" applyAlignment="1">
      <alignment horizontal="justify"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0" fontId="4" fillId="2" borderId="10" xfId="0" applyFont="1" applyFill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27" xfId="0" applyFont="1" applyBorder="1" applyAlignment="1">
      <alignment horizontal="right" vertical="center" wrapText="1"/>
    </xf>
    <xf numFmtId="3" fontId="4" fillId="0" borderId="27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3" fontId="4" fillId="0" borderId="7" xfId="0" applyNumberFormat="1" applyFont="1" applyBorder="1" applyAlignment="1">
      <alignment horizontal="right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L25"/>
  <sheetViews>
    <sheetView tabSelected="1" workbookViewId="0">
      <selection activeCell="F1" sqref="F1"/>
    </sheetView>
  </sheetViews>
  <sheetFormatPr defaultRowHeight="16.899999999999999" x14ac:dyDescent="0.6"/>
  <cols>
    <col min="8" max="8" width="15.1875" bestFit="1" customWidth="1"/>
  </cols>
  <sheetData>
    <row r="1" spans="1:12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</row>
    <row r="2" spans="1:12" x14ac:dyDescent="0.6">
      <c r="A2" s="2"/>
      <c r="B2" s="2" t="s">
        <v>57</v>
      </c>
      <c r="C2" s="2"/>
      <c r="D2" s="2" t="s">
        <v>14</v>
      </c>
      <c r="E2" s="2">
        <v>1</v>
      </c>
      <c r="F2" s="2" t="s">
        <v>7</v>
      </c>
      <c r="G2" s="2" t="s">
        <v>56</v>
      </c>
      <c r="H2" s="1">
        <f>부문별!H12+부문별!H42</f>
        <v>4591537</v>
      </c>
      <c r="L2" s="1"/>
    </row>
    <row r="3" spans="1:12" x14ac:dyDescent="0.6">
      <c r="A3" s="2"/>
      <c r="B3" s="2" t="s">
        <v>57</v>
      </c>
      <c r="C3" s="2"/>
      <c r="D3" s="2" t="s">
        <v>14</v>
      </c>
      <c r="E3" s="2">
        <v>2</v>
      </c>
      <c r="F3" s="2" t="s">
        <v>8</v>
      </c>
      <c r="G3" s="2" t="s">
        <v>56</v>
      </c>
      <c r="H3" s="1">
        <f>N(부문별!H15)+부문별!H45</f>
        <v>502139</v>
      </c>
    </row>
    <row r="4" spans="1:12" x14ac:dyDescent="0.6">
      <c r="A4" s="2"/>
      <c r="B4" s="2" t="s">
        <v>57</v>
      </c>
      <c r="C4" s="2"/>
      <c r="D4" s="2" t="s">
        <v>14</v>
      </c>
      <c r="E4">
        <v>3</v>
      </c>
      <c r="F4" s="2" t="s">
        <v>9</v>
      </c>
      <c r="G4" t="s">
        <v>56</v>
      </c>
      <c r="H4" s="1">
        <f>부문별!H24+부문별!H54</f>
        <v>166313</v>
      </c>
    </row>
    <row r="5" spans="1:12" x14ac:dyDescent="0.6">
      <c r="A5" s="2"/>
      <c r="B5" s="2" t="s">
        <v>57</v>
      </c>
      <c r="C5" s="2"/>
      <c r="D5" s="2" t="s">
        <v>14</v>
      </c>
      <c r="E5" s="2">
        <v>4</v>
      </c>
      <c r="F5" s="2" t="s">
        <v>13</v>
      </c>
      <c r="G5" t="s">
        <v>56</v>
      </c>
      <c r="H5" s="1">
        <f>H7-H6-H4-H3-H2</f>
        <v>-559214</v>
      </c>
    </row>
    <row r="6" spans="1:12" x14ac:dyDescent="0.6">
      <c r="A6" s="2"/>
      <c r="B6" s="2" t="s">
        <v>57</v>
      </c>
      <c r="C6" s="2"/>
      <c r="D6" s="2" t="s">
        <v>14</v>
      </c>
      <c r="E6" s="2">
        <v>5</v>
      </c>
      <c r="F6" s="2" t="s">
        <v>10</v>
      </c>
      <c r="G6" t="s">
        <v>56</v>
      </c>
      <c r="H6" s="1">
        <f>부문별!H17+부문별!H47</f>
        <v>-401662</v>
      </c>
    </row>
    <row r="7" spans="1:12" x14ac:dyDescent="0.6">
      <c r="A7" s="2"/>
      <c r="B7" s="2" t="s">
        <v>57</v>
      </c>
      <c r="C7" s="2"/>
      <c r="D7" s="2" t="s">
        <v>14</v>
      </c>
      <c r="E7" s="2">
        <v>6</v>
      </c>
      <c r="F7" s="2" t="s">
        <v>11</v>
      </c>
      <c r="G7" t="s">
        <v>56</v>
      </c>
      <c r="H7" s="1">
        <f>부문별!H32+부문별!H62</f>
        <v>4299113</v>
      </c>
    </row>
    <row r="8" spans="1:12" x14ac:dyDescent="0.6">
      <c r="A8" s="2"/>
      <c r="B8" s="2"/>
      <c r="C8" s="2"/>
      <c r="D8" s="2"/>
      <c r="H8" s="1"/>
    </row>
    <row r="9" spans="1:12" x14ac:dyDescent="0.6">
      <c r="A9" s="2"/>
      <c r="B9" s="2"/>
      <c r="C9" s="2"/>
      <c r="D9" s="2"/>
    </row>
    <row r="10" spans="1:12" x14ac:dyDescent="0.6">
      <c r="A10" s="2"/>
      <c r="B10" s="2"/>
      <c r="C10" s="2"/>
      <c r="D10" s="2"/>
      <c r="H10" s="1"/>
    </row>
    <row r="11" spans="1:12" x14ac:dyDescent="0.6">
      <c r="A11" s="2"/>
      <c r="B11" s="2"/>
      <c r="C11" s="2"/>
      <c r="D11" s="2"/>
      <c r="H11" s="1"/>
    </row>
    <row r="12" spans="1:12" x14ac:dyDescent="0.6">
      <c r="A12" s="2"/>
      <c r="B12" s="2"/>
      <c r="C12" s="2"/>
      <c r="D12" s="2"/>
    </row>
    <row r="13" spans="1:12" x14ac:dyDescent="0.6">
      <c r="A13" s="2"/>
      <c r="B13" s="2"/>
      <c r="C13" s="2"/>
      <c r="D13" s="2"/>
      <c r="H13" s="1"/>
    </row>
    <row r="14" spans="1:12" x14ac:dyDescent="0.6">
      <c r="A14" s="2"/>
      <c r="B14" s="2"/>
      <c r="C14" s="2"/>
      <c r="D14" s="2"/>
      <c r="H14" s="1"/>
    </row>
    <row r="15" spans="1:12" x14ac:dyDescent="0.6">
      <c r="A15" s="2"/>
      <c r="B15" s="2"/>
      <c r="C15" s="2"/>
      <c r="D15" s="2"/>
      <c r="H15" s="1"/>
    </row>
    <row r="16" spans="1:12" x14ac:dyDescent="0.6">
      <c r="A16" s="2"/>
      <c r="B16" s="2"/>
      <c r="C16" s="2"/>
      <c r="D16" s="2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5" spans="1:8" x14ac:dyDescent="0.6">
      <c r="H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I63"/>
  <sheetViews>
    <sheetView topLeftCell="A49" zoomScale="85" zoomScaleNormal="85" workbookViewId="0">
      <selection activeCell="H14" sqref="H14"/>
    </sheetView>
  </sheetViews>
  <sheetFormatPr defaultRowHeight="16.899999999999999" x14ac:dyDescent="0.6"/>
  <sheetData>
    <row r="1" spans="1:9" ht="67.5" customHeight="1" x14ac:dyDescent="0.6">
      <c r="A1" s="3" t="s">
        <v>21</v>
      </c>
    </row>
    <row r="2" spans="1:9" ht="54" customHeight="1" x14ac:dyDescent="0.6"/>
    <row r="3" spans="1:9" x14ac:dyDescent="0.6">
      <c r="A3" s="3" t="s">
        <v>22</v>
      </c>
    </row>
    <row r="4" spans="1:9" ht="67.5" customHeight="1" x14ac:dyDescent="0.6">
      <c r="A4" s="4"/>
    </row>
    <row r="5" spans="1:9" ht="27" x14ac:dyDescent="0.6">
      <c r="A5" s="5" t="s">
        <v>23</v>
      </c>
      <c r="B5" s="6" t="s">
        <v>24</v>
      </c>
    </row>
    <row r="6" spans="1:9" ht="27" customHeight="1" x14ac:dyDescent="0.6">
      <c r="A6" s="27" t="s">
        <v>25</v>
      </c>
      <c r="B6" s="28"/>
      <c r="C6" s="17" t="s">
        <v>16</v>
      </c>
      <c r="D6" s="17" t="s">
        <v>19</v>
      </c>
      <c r="E6" s="33" t="s">
        <v>12</v>
      </c>
      <c r="F6" s="34"/>
      <c r="G6" s="34"/>
      <c r="H6" s="28"/>
      <c r="I6" s="37" t="s">
        <v>20</v>
      </c>
    </row>
    <row r="7" spans="1:9" ht="16.899999999999999" customHeight="1" x14ac:dyDescent="0.6">
      <c r="A7" s="29"/>
      <c r="B7" s="30"/>
      <c r="C7" s="8" t="s">
        <v>17</v>
      </c>
      <c r="D7" s="8" t="s">
        <v>26</v>
      </c>
      <c r="E7" s="35"/>
      <c r="F7" s="36"/>
      <c r="G7" s="36"/>
      <c r="H7" s="32"/>
      <c r="I7" s="38"/>
    </row>
    <row r="8" spans="1:9" ht="25.5" x14ac:dyDescent="0.6">
      <c r="A8" s="29"/>
      <c r="B8" s="30"/>
      <c r="C8" s="8"/>
      <c r="D8" s="8" t="s">
        <v>27</v>
      </c>
      <c r="E8" s="7" t="s">
        <v>28</v>
      </c>
      <c r="F8" s="7" t="s">
        <v>30</v>
      </c>
      <c r="G8" s="40" t="s">
        <v>31</v>
      </c>
      <c r="H8" s="40" t="s">
        <v>32</v>
      </c>
      <c r="I8" s="38"/>
    </row>
    <row r="9" spans="1:9" ht="20.25" customHeight="1" x14ac:dyDescent="0.6">
      <c r="A9" s="31"/>
      <c r="B9" s="32"/>
      <c r="C9" s="9"/>
      <c r="D9" s="9"/>
      <c r="E9" s="9" t="s">
        <v>29</v>
      </c>
      <c r="F9" s="9" t="s">
        <v>29</v>
      </c>
      <c r="G9" s="41"/>
      <c r="H9" s="41"/>
      <c r="I9" s="39"/>
    </row>
    <row r="10" spans="1:9" ht="27" customHeight="1" x14ac:dyDescent="0.6">
      <c r="A10" s="42" t="s">
        <v>33</v>
      </c>
      <c r="B10" s="11" t="s">
        <v>34</v>
      </c>
      <c r="C10" s="12">
        <v>18769876</v>
      </c>
      <c r="D10" s="12">
        <v>8834</v>
      </c>
      <c r="E10" s="13" t="s">
        <v>18</v>
      </c>
      <c r="F10" s="12">
        <v>1214043</v>
      </c>
      <c r="G10" s="12">
        <v>26076</v>
      </c>
      <c r="H10" s="12">
        <v>1240119</v>
      </c>
      <c r="I10" s="18">
        <v>20018829</v>
      </c>
    </row>
    <row r="11" spans="1:9" ht="27" customHeight="1" x14ac:dyDescent="0.6">
      <c r="A11" s="43"/>
      <c r="B11" s="11" t="s">
        <v>35</v>
      </c>
      <c r="C11" s="13" t="s">
        <v>18</v>
      </c>
      <c r="D11" s="13" t="s">
        <v>18</v>
      </c>
      <c r="E11" s="13" t="s">
        <v>18</v>
      </c>
      <c r="F11" s="13" t="s">
        <v>18</v>
      </c>
      <c r="G11" s="13" t="s">
        <v>18</v>
      </c>
      <c r="H11" s="13" t="s">
        <v>18</v>
      </c>
      <c r="I11" s="19" t="s">
        <v>18</v>
      </c>
    </row>
    <row r="12" spans="1:9" ht="27" customHeight="1" x14ac:dyDescent="0.6">
      <c r="A12" s="44"/>
      <c r="B12" s="14" t="s">
        <v>36</v>
      </c>
      <c r="C12" s="12">
        <v>18769876</v>
      </c>
      <c r="D12" s="12">
        <v>8834</v>
      </c>
      <c r="E12" s="13" t="s">
        <v>18</v>
      </c>
      <c r="F12" s="12">
        <v>1214043</v>
      </c>
      <c r="G12" s="12">
        <v>26076</v>
      </c>
      <c r="H12" s="12">
        <v>1240119</v>
      </c>
      <c r="I12" s="18">
        <v>20018829</v>
      </c>
    </row>
    <row r="13" spans="1:9" ht="27" customHeight="1" x14ac:dyDescent="0.6">
      <c r="A13" s="42" t="s">
        <v>37</v>
      </c>
      <c r="B13" s="10" t="s">
        <v>58</v>
      </c>
      <c r="C13" s="15">
        <v>-4439</v>
      </c>
      <c r="D13" s="16">
        <v>640</v>
      </c>
      <c r="E13" s="16" t="s">
        <v>18</v>
      </c>
      <c r="F13" s="15">
        <v>4394</v>
      </c>
      <c r="G13" s="16">
        <v>-595</v>
      </c>
      <c r="H13" s="15">
        <v>3799</v>
      </c>
      <c r="I13" s="20" t="s">
        <v>18</v>
      </c>
    </row>
    <row r="14" spans="1:9" ht="54" customHeight="1" x14ac:dyDescent="0.6">
      <c r="A14" s="43"/>
      <c r="B14" s="10" t="s">
        <v>59</v>
      </c>
      <c r="C14" s="15">
        <v>-3513</v>
      </c>
      <c r="D14" s="16" t="s">
        <v>18</v>
      </c>
      <c r="E14" s="16" t="s">
        <v>18</v>
      </c>
      <c r="F14" s="16" t="s">
        <v>18</v>
      </c>
      <c r="G14" s="16" t="s">
        <v>18</v>
      </c>
      <c r="H14" s="16" t="s">
        <v>18</v>
      </c>
      <c r="I14" s="21">
        <v>-3513</v>
      </c>
    </row>
    <row r="15" spans="1:9" ht="27" customHeight="1" x14ac:dyDescent="0.6">
      <c r="A15" s="43"/>
      <c r="B15" s="11" t="s">
        <v>38</v>
      </c>
      <c r="C15" s="13" t="s">
        <v>18</v>
      </c>
      <c r="D15" s="13" t="s">
        <v>18</v>
      </c>
      <c r="E15" s="13" t="s">
        <v>18</v>
      </c>
      <c r="F15" s="13" t="s">
        <v>18</v>
      </c>
      <c r="G15" s="13" t="s">
        <v>18</v>
      </c>
      <c r="H15" s="13" t="s">
        <v>18</v>
      </c>
      <c r="I15" s="19" t="s">
        <v>18</v>
      </c>
    </row>
    <row r="16" spans="1:9" ht="54" customHeight="1" x14ac:dyDescent="0.6">
      <c r="A16" s="44"/>
      <c r="B16" s="14" t="s">
        <v>36</v>
      </c>
      <c r="C16" s="12">
        <v>-7952</v>
      </c>
      <c r="D16" s="13">
        <v>640</v>
      </c>
      <c r="E16" s="13" t="s">
        <v>18</v>
      </c>
      <c r="F16" s="12">
        <v>4394</v>
      </c>
      <c r="G16" s="13">
        <v>-595</v>
      </c>
      <c r="H16" s="12">
        <v>3799</v>
      </c>
      <c r="I16" s="18">
        <v>-3513</v>
      </c>
    </row>
    <row r="17" spans="1:9" ht="54" customHeight="1" x14ac:dyDescent="0.6">
      <c r="A17" s="42" t="s">
        <v>39</v>
      </c>
      <c r="B17" s="11" t="s">
        <v>40</v>
      </c>
      <c r="C17" s="13" t="s">
        <v>18</v>
      </c>
      <c r="D17" s="13" t="s">
        <v>18</v>
      </c>
      <c r="E17" s="13" t="s">
        <v>18</v>
      </c>
      <c r="F17" s="12">
        <v>-118574</v>
      </c>
      <c r="G17" s="12">
        <v>-1605</v>
      </c>
      <c r="H17" s="12">
        <v>-120179</v>
      </c>
      <c r="I17" s="18">
        <v>-120179</v>
      </c>
    </row>
    <row r="18" spans="1:9" ht="54" customHeight="1" x14ac:dyDescent="0.6">
      <c r="A18" s="43"/>
      <c r="B18" s="11" t="s">
        <v>41</v>
      </c>
      <c r="C18" s="13" t="s">
        <v>18</v>
      </c>
      <c r="D18" s="12">
        <v>-2342</v>
      </c>
      <c r="E18" s="13" t="s">
        <v>18</v>
      </c>
      <c r="F18" s="13" t="s">
        <v>18</v>
      </c>
      <c r="G18" s="13" t="s">
        <v>18</v>
      </c>
      <c r="H18" s="13" t="s">
        <v>18</v>
      </c>
      <c r="I18" s="18">
        <v>-2342</v>
      </c>
    </row>
    <row r="19" spans="1:9" ht="54" customHeight="1" x14ac:dyDescent="0.6">
      <c r="A19" s="43"/>
      <c r="B19" s="11" t="s">
        <v>42</v>
      </c>
      <c r="C19" s="13">
        <v>885</v>
      </c>
      <c r="D19" s="13" t="s">
        <v>18</v>
      </c>
      <c r="E19" s="13" t="s">
        <v>18</v>
      </c>
      <c r="F19" s="13" t="s">
        <v>18</v>
      </c>
      <c r="G19" s="13" t="s">
        <v>18</v>
      </c>
      <c r="H19" s="13" t="s">
        <v>18</v>
      </c>
      <c r="I19" s="19">
        <v>885</v>
      </c>
    </row>
    <row r="20" spans="1:9" ht="54" customHeight="1" x14ac:dyDescent="0.6">
      <c r="A20" s="44"/>
      <c r="B20" s="14" t="s">
        <v>36</v>
      </c>
      <c r="C20" s="13">
        <v>885</v>
      </c>
      <c r="D20" s="12">
        <v>-2342</v>
      </c>
      <c r="E20" s="13" t="s">
        <v>18</v>
      </c>
      <c r="F20" s="12">
        <v>-118574</v>
      </c>
      <c r="G20" s="12">
        <v>-1605</v>
      </c>
      <c r="H20" s="12">
        <v>-120179</v>
      </c>
      <c r="I20" s="18">
        <v>-121636</v>
      </c>
    </row>
    <row r="21" spans="1:9" ht="38.25" x14ac:dyDescent="0.6">
      <c r="A21" s="22" t="s">
        <v>43</v>
      </c>
      <c r="B21" s="11" t="s">
        <v>44</v>
      </c>
      <c r="C21" s="12">
        <v>-1087</v>
      </c>
      <c r="D21" s="13">
        <v>8</v>
      </c>
      <c r="E21" s="13" t="s">
        <v>18</v>
      </c>
      <c r="F21" s="13" t="s">
        <v>18</v>
      </c>
      <c r="G21" s="13" t="s">
        <v>18</v>
      </c>
      <c r="H21" s="13" t="s">
        <v>18</v>
      </c>
      <c r="I21" s="18">
        <v>-1079</v>
      </c>
    </row>
    <row r="22" spans="1:9" ht="27" customHeight="1" x14ac:dyDescent="0.6">
      <c r="A22" s="42" t="s">
        <v>45</v>
      </c>
      <c r="B22" s="11" t="s">
        <v>46</v>
      </c>
      <c r="C22" s="12">
        <v>561889</v>
      </c>
      <c r="D22" s="12">
        <v>2142</v>
      </c>
      <c r="E22" s="13" t="s">
        <v>18</v>
      </c>
      <c r="F22" s="12">
        <v>37215</v>
      </c>
      <c r="G22" s="13">
        <v>802</v>
      </c>
      <c r="H22" s="12">
        <v>38017</v>
      </c>
      <c r="I22" s="18">
        <v>602048</v>
      </c>
    </row>
    <row r="23" spans="1:9" ht="25.5" x14ac:dyDescent="0.6">
      <c r="A23" s="43"/>
      <c r="B23" s="11" t="s">
        <v>47</v>
      </c>
      <c r="C23" s="12">
        <v>-93164</v>
      </c>
      <c r="D23" s="13">
        <v>-522</v>
      </c>
      <c r="E23" s="13" t="s">
        <v>18</v>
      </c>
      <c r="F23" s="13" t="s">
        <v>18</v>
      </c>
      <c r="G23" s="13" t="s">
        <v>18</v>
      </c>
      <c r="H23" s="13" t="s">
        <v>18</v>
      </c>
      <c r="I23" s="18">
        <v>-93686</v>
      </c>
    </row>
    <row r="24" spans="1:9" ht="54" customHeight="1" x14ac:dyDescent="0.6">
      <c r="A24" s="44"/>
      <c r="B24" s="14" t="s">
        <v>36</v>
      </c>
      <c r="C24" s="12">
        <v>468725</v>
      </c>
      <c r="D24" s="12">
        <v>1620</v>
      </c>
      <c r="E24" s="13" t="s">
        <v>18</v>
      </c>
      <c r="F24" s="12">
        <v>37215</v>
      </c>
      <c r="G24" s="13">
        <v>802</v>
      </c>
      <c r="H24" s="12">
        <v>38017</v>
      </c>
      <c r="I24" s="18">
        <v>508362</v>
      </c>
    </row>
    <row r="25" spans="1:9" ht="54" customHeight="1" x14ac:dyDescent="0.6">
      <c r="A25" s="42" t="s">
        <v>48</v>
      </c>
      <c r="B25" s="11" t="s">
        <v>49</v>
      </c>
      <c r="C25" s="12">
        <v>385835</v>
      </c>
      <c r="D25" s="13" t="s">
        <v>18</v>
      </c>
      <c r="E25" s="13" t="s">
        <v>18</v>
      </c>
      <c r="F25" s="13" t="s">
        <v>18</v>
      </c>
      <c r="G25" s="13" t="s">
        <v>18</v>
      </c>
      <c r="H25" s="13" t="s">
        <v>18</v>
      </c>
      <c r="I25" s="18">
        <v>385835</v>
      </c>
    </row>
    <row r="26" spans="1:9" ht="54" customHeight="1" x14ac:dyDescent="0.6">
      <c r="A26" s="43"/>
      <c r="B26" s="11" t="s">
        <v>50</v>
      </c>
      <c r="C26" s="13">
        <v>-508</v>
      </c>
      <c r="D26" s="13" t="s">
        <v>18</v>
      </c>
      <c r="E26" s="13" t="s">
        <v>18</v>
      </c>
      <c r="F26" s="13" t="s">
        <v>18</v>
      </c>
      <c r="G26" s="13" t="s">
        <v>18</v>
      </c>
      <c r="H26" s="13" t="s">
        <v>18</v>
      </c>
      <c r="I26" s="19">
        <v>-508</v>
      </c>
    </row>
    <row r="27" spans="1:9" ht="16.899999999999999" customHeight="1" x14ac:dyDescent="0.6">
      <c r="A27" s="43"/>
      <c r="B27" s="10" t="s">
        <v>60</v>
      </c>
      <c r="C27" s="15">
        <v>-1835981</v>
      </c>
      <c r="D27" s="16" t="s">
        <v>18</v>
      </c>
      <c r="E27" s="16" t="s">
        <v>18</v>
      </c>
      <c r="F27" s="16" t="s">
        <v>18</v>
      </c>
      <c r="G27" s="16" t="s">
        <v>18</v>
      </c>
      <c r="H27" s="16" t="s">
        <v>18</v>
      </c>
      <c r="I27" s="21">
        <v>-1835981</v>
      </c>
    </row>
    <row r="28" spans="1:9" ht="40.5" customHeight="1" x14ac:dyDescent="0.6">
      <c r="A28" s="44"/>
      <c r="B28" s="14" t="s">
        <v>36</v>
      </c>
      <c r="C28" s="12">
        <v>-1450654</v>
      </c>
      <c r="D28" s="13" t="s">
        <v>18</v>
      </c>
      <c r="E28" s="13" t="s">
        <v>18</v>
      </c>
      <c r="F28" s="13" t="s">
        <v>18</v>
      </c>
      <c r="G28" s="13" t="s">
        <v>18</v>
      </c>
      <c r="H28" s="13" t="s">
        <v>18</v>
      </c>
      <c r="I28" s="18">
        <v>-1450654</v>
      </c>
    </row>
    <row r="29" spans="1:9" ht="27" customHeight="1" x14ac:dyDescent="0.6">
      <c r="A29" s="45" t="s">
        <v>51</v>
      </c>
      <c r="B29" s="46"/>
      <c r="C29" s="13">
        <v>-413</v>
      </c>
      <c r="D29" s="13" t="s">
        <v>18</v>
      </c>
      <c r="E29" s="13" t="s">
        <v>18</v>
      </c>
      <c r="F29" s="13" t="s">
        <v>18</v>
      </c>
      <c r="G29" s="13" t="s">
        <v>18</v>
      </c>
      <c r="H29" s="13" t="s">
        <v>18</v>
      </c>
      <c r="I29" s="19">
        <v>-413</v>
      </c>
    </row>
    <row r="30" spans="1:9" ht="27" customHeight="1" x14ac:dyDescent="0.6">
      <c r="A30" s="42" t="s">
        <v>52</v>
      </c>
      <c r="B30" s="11" t="s">
        <v>53</v>
      </c>
      <c r="C30" s="12">
        <v>17779380</v>
      </c>
      <c r="D30" s="12">
        <v>8760</v>
      </c>
      <c r="E30" s="13" t="s">
        <v>18</v>
      </c>
      <c r="F30" s="12">
        <v>1137078</v>
      </c>
      <c r="G30" s="12">
        <v>24678</v>
      </c>
      <c r="H30" s="12">
        <v>1161756</v>
      </c>
      <c r="I30" s="18">
        <v>18949896</v>
      </c>
    </row>
    <row r="31" spans="1:9" ht="27" customHeight="1" x14ac:dyDescent="0.6">
      <c r="A31" s="43"/>
      <c r="B31" s="11" t="s">
        <v>54</v>
      </c>
      <c r="C31" s="13" t="s">
        <v>18</v>
      </c>
      <c r="D31" s="13" t="s">
        <v>18</v>
      </c>
      <c r="E31" s="13" t="s">
        <v>18</v>
      </c>
      <c r="F31" s="13" t="s">
        <v>18</v>
      </c>
      <c r="G31" s="13" t="s">
        <v>18</v>
      </c>
      <c r="H31" s="13" t="s">
        <v>18</v>
      </c>
      <c r="I31" s="19" t="s">
        <v>18</v>
      </c>
    </row>
    <row r="32" spans="1:9" x14ac:dyDescent="0.6">
      <c r="A32" s="47"/>
      <c r="B32" s="23" t="s">
        <v>36</v>
      </c>
      <c r="C32" s="24">
        <v>17779380</v>
      </c>
      <c r="D32" s="24">
        <v>8760</v>
      </c>
      <c r="E32" s="25" t="s">
        <v>18</v>
      </c>
      <c r="F32" s="24">
        <v>1137078</v>
      </c>
      <c r="G32" s="24">
        <v>24678</v>
      </c>
      <c r="H32" s="24">
        <v>1161756</v>
      </c>
      <c r="I32" s="26">
        <v>18949896</v>
      </c>
    </row>
    <row r="33" spans="1:9" x14ac:dyDescent="0.6">
      <c r="A33" s="3" t="s">
        <v>55</v>
      </c>
    </row>
    <row r="34" spans="1:9" x14ac:dyDescent="0.6">
      <c r="A34" s="4"/>
    </row>
    <row r="35" spans="1:9" ht="27" x14ac:dyDescent="0.6">
      <c r="A35" s="5" t="s">
        <v>23</v>
      </c>
      <c r="B35" s="6" t="s">
        <v>24</v>
      </c>
    </row>
    <row r="36" spans="1:9" ht="25.5" x14ac:dyDescent="0.6">
      <c r="A36" s="27" t="s">
        <v>25</v>
      </c>
      <c r="B36" s="28"/>
      <c r="C36" s="17" t="s">
        <v>16</v>
      </c>
      <c r="D36" s="17" t="s">
        <v>19</v>
      </c>
      <c r="E36" s="33" t="s">
        <v>12</v>
      </c>
      <c r="F36" s="34"/>
      <c r="G36" s="34"/>
      <c r="H36" s="28"/>
      <c r="I36" s="37" t="s">
        <v>20</v>
      </c>
    </row>
    <row r="37" spans="1:9" ht="25.5" x14ac:dyDescent="0.6">
      <c r="A37" s="29"/>
      <c r="B37" s="30"/>
      <c r="C37" s="8" t="s">
        <v>17</v>
      </c>
      <c r="D37" s="8" t="s">
        <v>26</v>
      </c>
      <c r="E37" s="35"/>
      <c r="F37" s="36"/>
      <c r="G37" s="36"/>
      <c r="H37" s="32"/>
      <c r="I37" s="38"/>
    </row>
    <row r="38" spans="1:9" ht="25.5" x14ac:dyDescent="0.6">
      <c r="A38" s="29"/>
      <c r="B38" s="30"/>
      <c r="C38" s="8"/>
      <c r="D38" s="8" t="s">
        <v>27</v>
      </c>
      <c r="E38" s="7" t="s">
        <v>28</v>
      </c>
      <c r="F38" s="7" t="s">
        <v>30</v>
      </c>
      <c r="G38" s="40" t="s">
        <v>31</v>
      </c>
      <c r="H38" s="40" t="s">
        <v>32</v>
      </c>
      <c r="I38" s="38"/>
    </row>
    <row r="39" spans="1:9" ht="25.5" x14ac:dyDescent="0.6">
      <c r="A39" s="31"/>
      <c r="B39" s="32"/>
      <c r="C39" s="9"/>
      <c r="D39" s="9"/>
      <c r="E39" s="9" t="s">
        <v>29</v>
      </c>
      <c r="F39" s="9" t="s">
        <v>29</v>
      </c>
      <c r="G39" s="41"/>
      <c r="H39" s="41"/>
      <c r="I39" s="39"/>
    </row>
    <row r="40" spans="1:9" ht="25.5" x14ac:dyDescent="0.6">
      <c r="A40" s="42" t="s">
        <v>33</v>
      </c>
      <c r="B40" s="11" t="s">
        <v>34</v>
      </c>
      <c r="C40" s="12">
        <v>22304407</v>
      </c>
      <c r="D40" s="12">
        <v>453804</v>
      </c>
      <c r="E40" s="13" t="s">
        <v>18</v>
      </c>
      <c r="F40" s="12">
        <v>774027</v>
      </c>
      <c r="G40" s="12">
        <v>2577391</v>
      </c>
      <c r="H40" s="12">
        <v>3351418</v>
      </c>
      <c r="I40" s="18">
        <v>26109629</v>
      </c>
    </row>
    <row r="41" spans="1:9" ht="25.5" x14ac:dyDescent="0.6">
      <c r="A41" s="43"/>
      <c r="B41" s="11" t="s">
        <v>35</v>
      </c>
      <c r="C41" s="13" t="s">
        <v>18</v>
      </c>
      <c r="D41" s="13" t="s">
        <v>18</v>
      </c>
      <c r="E41" s="13" t="s">
        <v>18</v>
      </c>
      <c r="F41" s="13" t="s">
        <v>18</v>
      </c>
      <c r="G41" s="13" t="s">
        <v>18</v>
      </c>
      <c r="H41" s="13" t="s">
        <v>18</v>
      </c>
      <c r="I41" s="19" t="s">
        <v>18</v>
      </c>
    </row>
    <row r="42" spans="1:9" x14ac:dyDescent="0.6">
      <c r="A42" s="44"/>
      <c r="B42" s="14" t="s">
        <v>36</v>
      </c>
      <c r="C42" s="12">
        <v>22304407</v>
      </c>
      <c r="D42" s="12">
        <v>453804</v>
      </c>
      <c r="E42" s="13" t="s">
        <v>18</v>
      </c>
      <c r="F42" s="12">
        <v>774027</v>
      </c>
      <c r="G42" s="12">
        <v>2577391</v>
      </c>
      <c r="H42" s="12">
        <v>3351418</v>
      </c>
      <c r="I42" s="18">
        <v>26109629</v>
      </c>
    </row>
    <row r="43" spans="1:9" ht="38.25" x14ac:dyDescent="0.6">
      <c r="A43" s="42" t="s">
        <v>37</v>
      </c>
      <c r="B43" s="10" t="s">
        <v>58</v>
      </c>
      <c r="C43" s="15">
        <v>572167</v>
      </c>
      <c r="D43" s="15">
        <v>-9154</v>
      </c>
      <c r="E43" s="16" t="s">
        <v>18</v>
      </c>
      <c r="F43" s="15">
        <v>-218293</v>
      </c>
      <c r="G43" s="15">
        <v>-344720</v>
      </c>
      <c r="H43" s="15">
        <v>-563013</v>
      </c>
      <c r="I43" s="20" t="s">
        <v>18</v>
      </c>
    </row>
    <row r="44" spans="1:9" ht="51" x14ac:dyDescent="0.6">
      <c r="A44" s="43"/>
      <c r="B44" s="10" t="s">
        <v>59</v>
      </c>
      <c r="C44" s="15">
        <v>23486</v>
      </c>
      <c r="D44" s="16" t="s">
        <v>18</v>
      </c>
      <c r="E44" s="16" t="s">
        <v>18</v>
      </c>
      <c r="F44" s="16" t="s">
        <v>18</v>
      </c>
      <c r="G44" s="16" t="s">
        <v>18</v>
      </c>
      <c r="H44" s="16" t="s">
        <v>18</v>
      </c>
      <c r="I44" s="21">
        <v>23486</v>
      </c>
    </row>
    <row r="45" spans="1:9" ht="25.5" x14ac:dyDescent="0.6">
      <c r="A45" s="43"/>
      <c r="B45" s="11" t="s">
        <v>38</v>
      </c>
      <c r="C45" s="12">
        <v>-508258</v>
      </c>
      <c r="D45" s="12">
        <v>47223</v>
      </c>
      <c r="E45" s="13" t="s">
        <v>18</v>
      </c>
      <c r="F45" s="13" t="s">
        <v>18</v>
      </c>
      <c r="G45" s="12">
        <v>502139</v>
      </c>
      <c r="H45" s="12">
        <v>502139</v>
      </c>
      <c r="I45" s="18">
        <v>41104</v>
      </c>
    </row>
    <row r="46" spans="1:9" x14ac:dyDescent="0.6">
      <c r="A46" s="44"/>
      <c r="B46" s="14" t="s">
        <v>36</v>
      </c>
      <c r="C46" s="12">
        <v>87395</v>
      </c>
      <c r="D46" s="12">
        <v>38069</v>
      </c>
      <c r="E46" s="13" t="s">
        <v>18</v>
      </c>
      <c r="F46" s="12">
        <v>-218293</v>
      </c>
      <c r="G46" s="12">
        <v>157419</v>
      </c>
      <c r="H46" s="12">
        <v>-60874</v>
      </c>
      <c r="I46" s="18">
        <v>64590</v>
      </c>
    </row>
    <row r="47" spans="1:9" ht="25.5" x14ac:dyDescent="0.6">
      <c r="A47" s="42" t="s">
        <v>39</v>
      </c>
      <c r="B47" s="11" t="s">
        <v>40</v>
      </c>
      <c r="C47" s="13" t="s">
        <v>18</v>
      </c>
      <c r="D47" s="13" t="s">
        <v>18</v>
      </c>
      <c r="E47" s="13" t="s">
        <v>18</v>
      </c>
      <c r="F47" s="12">
        <v>-56587</v>
      </c>
      <c r="G47" s="12">
        <v>-224896</v>
      </c>
      <c r="H47" s="12">
        <v>-281483</v>
      </c>
      <c r="I47" s="18">
        <v>-281483</v>
      </c>
    </row>
    <row r="48" spans="1:9" ht="25.5" x14ac:dyDescent="0.6">
      <c r="A48" s="43"/>
      <c r="B48" s="11" t="s">
        <v>41</v>
      </c>
      <c r="C48" s="13" t="s">
        <v>18</v>
      </c>
      <c r="D48" s="12">
        <v>-40281</v>
      </c>
      <c r="E48" s="13" t="s">
        <v>18</v>
      </c>
      <c r="F48" s="13" t="s">
        <v>18</v>
      </c>
      <c r="G48" s="13" t="s">
        <v>18</v>
      </c>
      <c r="H48" s="13" t="s">
        <v>18</v>
      </c>
      <c r="I48" s="18">
        <v>-40281</v>
      </c>
    </row>
    <row r="49" spans="1:9" x14ac:dyDescent="0.6">
      <c r="A49" s="43"/>
      <c r="B49" s="11" t="s">
        <v>42</v>
      </c>
      <c r="C49" s="12">
        <v>-62439</v>
      </c>
      <c r="D49" s="13" t="s">
        <v>18</v>
      </c>
      <c r="E49" s="13" t="s">
        <v>18</v>
      </c>
      <c r="F49" s="13" t="s">
        <v>18</v>
      </c>
      <c r="G49" s="13" t="s">
        <v>18</v>
      </c>
      <c r="H49" s="13" t="s">
        <v>18</v>
      </c>
      <c r="I49" s="18">
        <v>-62439</v>
      </c>
    </row>
    <row r="50" spans="1:9" x14ac:dyDescent="0.6">
      <c r="A50" s="44"/>
      <c r="B50" s="14" t="s">
        <v>36</v>
      </c>
      <c r="C50" s="12">
        <v>-62439</v>
      </c>
      <c r="D50" s="12">
        <v>-40281</v>
      </c>
      <c r="E50" s="13" t="s">
        <v>18</v>
      </c>
      <c r="F50" s="12">
        <v>-56587</v>
      </c>
      <c r="G50" s="12">
        <v>-224896</v>
      </c>
      <c r="H50" s="12">
        <v>-281483</v>
      </c>
      <c r="I50" s="18">
        <v>-384203</v>
      </c>
    </row>
    <row r="51" spans="1:9" ht="38.25" x14ac:dyDescent="0.6">
      <c r="A51" s="22" t="s">
        <v>43</v>
      </c>
      <c r="B51" s="11" t="s">
        <v>44</v>
      </c>
      <c r="C51" s="12">
        <v>4815</v>
      </c>
      <c r="D51" s="13">
        <v>-611</v>
      </c>
      <c r="E51" s="13" t="s">
        <v>18</v>
      </c>
      <c r="F51" s="13" t="s">
        <v>18</v>
      </c>
      <c r="G51" s="13" t="s">
        <v>18</v>
      </c>
      <c r="H51" s="13" t="s">
        <v>18</v>
      </c>
      <c r="I51" s="18">
        <v>4204</v>
      </c>
    </row>
    <row r="52" spans="1:9" ht="25.5" x14ac:dyDescent="0.6">
      <c r="A52" s="42" t="s">
        <v>45</v>
      </c>
      <c r="B52" s="11" t="s">
        <v>46</v>
      </c>
      <c r="C52" s="12">
        <v>747843</v>
      </c>
      <c r="D52" s="12">
        <v>16785</v>
      </c>
      <c r="E52" s="13" t="s">
        <v>18</v>
      </c>
      <c r="F52" s="12">
        <v>22219</v>
      </c>
      <c r="G52" s="12">
        <v>106077</v>
      </c>
      <c r="H52" s="12">
        <v>128296</v>
      </c>
      <c r="I52" s="18">
        <v>892924</v>
      </c>
    </row>
    <row r="53" spans="1:9" ht="25.5" x14ac:dyDescent="0.6">
      <c r="A53" s="43"/>
      <c r="B53" s="11" t="s">
        <v>47</v>
      </c>
      <c r="C53" s="12">
        <v>-1081974</v>
      </c>
      <c r="D53" s="12">
        <v>-5289</v>
      </c>
      <c r="E53" s="13" t="s">
        <v>18</v>
      </c>
      <c r="F53" s="13" t="s">
        <v>18</v>
      </c>
      <c r="G53" s="13" t="s">
        <v>18</v>
      </c>
      <c r="H53" s="13" t="s">
        <v>18</v>
      </c>
      <c r="I53" s="18">
        <v>-1087263</v>
      </c>
    </row>
    <row r="54" spans="1:9" x14ac:dyDescent="0.6">
      <c r="A54" s="44"/>
      <c r="B54" s="14" t="s">
        <v>36</v>
      </c>
      <c r="C54" s="12">
        <v>-334131</v>
      </c>
      <c r="D54" s="12">
        <v>11496</v>
      </c>
      <c r="E54" s="13" t="s">
        <v>18</v>
      </c>
      <c r="F54" s="12">
        <v>22219</v>
      </c>
      <c r="G54" s="12">
        <v>106077</v>
      </c>
      <c r="H54" s="12">
        <v>128296</v>
      </c>
      <c r="I54" s="18">
        <v>-194339</v>
      </c>
    </row>
    <row r="55" spans="1:9" ht="25.5" x14ac:dyDescent="0.6">
      <c r="A55" s="42" t="s">
        <v>48</v>
      </c>
      <c r="B55" s="11" t="s">
        <v>49</v>
      </c>
      <c r="C55" s="12">
        <v>5573118</v>
      </c>
      <c r="D55" s="13" t="s">
        <v>18</v>
      </c>
      <c r="E55" s="13" t="s">
        <v>18</v>
      </c>
      <c r="F55" s="13" t="s">
        <v>18</v>
      </c>
      <c r="G55" s="13" t="s">
        <v>18</v>
      </c>
      <c r="H55" s="13" t="s">
        <v>18</v>
      </c>
      <c r="I55" s="18">
        <v>5573118</v>
      </c>
    </row>
    <row r="56" spans="1:9" ht="38.25" x14ac:dyDescent="0.6">
      <c r="A56" s="43"/>
      <c r="B56" s="11" t="s">
        <v>50</v>
      </c>
      <c r="C56" s="12">
        <v>-749832</v>
      </c>
      <c r="D56" s="13" t="s">
        <v>18</v>
      </c>
      <c r="E56" s="13" t="s">
        <v>18</v>
      </c>
      <c r="F56" s="13" t="s">
        <v>18</v>
      </c>
      <c r="G56" s="13" t="s">
        <v>18</v>
      </c>
      <c r="H56" s="13" t="s">
        <v>18</v>
      </c>
      <c r="I56" s="18">
        <v>-749832</v>
      </c>
    </row>
    <row r="57" spans="1:9" ht="63.75" x14ac:dyDescent="0.6">
      <c r="A57" s="43"/>
      <c r="B57" s="10" t="s">
        <v>60</v>
      </c>
      <c r="C57" s="15">
        <v>-4173516</v>
      </c>
      <c r="D57" s="16" t="s">
        <v>18</v>
      </c>
      <c r="E57" s="16" t="s">
        <v>18</v>
      </c>
      <c r="F57" s="16" t="s">
        <v>18</v>
      </c>
      <c r="G57" s="16" t="s">
        <v>18</v>
      </c>
      <c r="H57" s="16" t="s">
        <v>18</v>
      </c>
      <c r="I57" s="21">
        <v>-4173516</v>
      </c>
    </row>
    <row r="58" spans="1:9" x14ac:dyDescent="0.6">
      <c r="A58" s="44"/>
      <c r="B58" s="14" t="s">
        <v>36</v>
      </c>
      <c r="C58" s="12">
        <v>649770</v>
      </c>
      <c r="D58" s="13" t="s">
        <v>18</v>
      </c>
      <c r="E58" s="13" t="s">
        <v>18</v>
      </c>
      <c r="F58" s="13" t="s">
        <v>18</v>
      </c>
      <c r="G58" s="13" t="s">
        <v>18</v>
      </c>
      <c r="H58" s="13" t="s">
        <v>18</v>
      </c>
      <c r="I58" s="18">
        <v>649770</v>
      </c>
    </row>
    <row r="59" spans="1:9" x14ac:dyDescent="0.6">
      <c r="A59" s="45" t="s">
        <v>51</v>
      </c>
      <c r="B59" s="46"/>
      <c r="C59" s="12">
        <v>-67338</v>
      </c>
      <c r="D59" s="13" t="s">
        <v>18</v>
      </c>
      <c r="E59" s="13" t="s">
        <v>18</v>
      </c>
      <c r="F59" s="13" t="s">
        <v>18</v>
      </c>
      <c r="G59" s="13" t="s">
        <v>18</v>
      </c>
      <c r="H59" s="13" t="s">
        <v>18</v>
      </c>
      <c r="I59" s="18">
        <v>-67338</v>
      </c>
    </row>
    <row r="60" spans="1:9" ht="25.5" x14ac:dyDescent="0.6">
      <c r="A60" s="42" t="s">
        <v>52</v>
      </c>
      <c r="B60" s="11" t="s">
        <v>53</v>
      </c>
      <c r="C60" s="12">
        <v>22582479</v>
      </c>
      <c r="D60" s="12">
        <v>462477</v>
      </c>
      <c r="E60" s="13" t="s">
        <v>18</v>
      </c>
      <c r="F60" s="12">
        <v>521366</v>
      </c>
      <c r="G60" s="12">
        <v>2615991</v>
      </c>
      <c r="H60" s="12">
        <v>3137357</v>
      </c>
      <c r="I60" s="18">
        <v>26182313</v>
      </c>
    </row>
    <row r="61" spans="1:9" ht="25.5" x14ac:dyDescent="0.6">
      <c r="A61" s="43"/>
      <c r="B61" s="11" t="s">
        <v>54</v>
      </c>
      <c r="C61" s="13" t="s">
        <v>18</v>
      </c>
      <c r="D61" s="13" t="s">
        <v>18</v>
      </c>
      <c r="E61" s="13" t="s">
        <v>18</v>
      </c>
      <c r="F61" s="13" t="s">
        <v>18</v>
      </c>
      <c r="G61" s="13" t="s">
        <v>18</v>
      </c>
      <c r="H61" s="13" t="s">
        <v>18</v>
      </c>
      <c r="I61" s="19" t="s">
        <v>18</v>
      </c>
    </row>
    <row r="62" spans="1:9" x14ac:dyDescent="0.6">
      <c r="A62" s="47"/>
      <c r="B62" s="23" t="s">
        <v>36</v>
      </c>
      <c r="C62" s="24">
        <v>22582479</v>
      </c>
      <c r="D62" s="24">
        <v>462477</v>
      </c>
      <c r="E62" s="25" t="s">
        <v>18</v>
      </c>
      <c r="F62" s="24">
        <v>521366</v>
      </c>
      <c r="G62" s="24">
        <v>2615991</v>
      </c>
      <c r="H62" s="24">
        <v>3137357</v>
      </c>
      <c r="I62" s="26">
        <v>26182313</v>
      </c>
    </row>
    <row r="63" spans="1:9" x14ac:dyDescent="0.6">
      <c r="A63" s="5"/>
    </row>
  </sheetData>
  <mergeCells count="24">
    <mergeCell ref="A59:B59"/>
    <mergeCell ref="A60:A62"/>
    <mergeCell ref="A47:A50"/>
    <mergeCell ref="A52:A54"/>
    <mergeCell ref="A55:A58"/>
    <mergeCell ref="A40:A42"/>
    <mergeCell ref="A43:A46"/>
    <mergeCell ref="A36:B39"/>
    <mergeCell ref="E36:H37"/>
    <mergeCell ref="I36:I39"/>
    <mergeCell ref="G38:G39"/>
    <mergeCell ref="H38:H39"/>
    <mergeCell ref="A29:B29"/>
    <mergeCell ref="A30:A32"/>
    <mergeCell ref="A25:A28"/>
    <mergeCell ref="A17:A20"/>
    <mergeCell ref="A22:A24"/>
    <mergeCell ref="I6:I9"/>
    <mergeCell ref="G8:G9"/>
    <mergeCell ref="H8:H9"/>
    <mergeCell ref="A10:A12"/>
    <mergeCell ref="A13:A16"/>
    <mergeCell ref="A6:B9"/>
    <mergeCell ref="E6:H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2026-06-03T00:05:16Z</dcterms:modified>
</cp:coreProperties>
</file>