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1CBA648E-EF93-42BF-8300-9D9FC4BCE081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포괄손익계산서" sheetId="3" r:id="rId2"/>
    <sheet name="보험손익" sheetId="1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4" l="1"/>
  <c r="H24" i="4"/>
  <c r="H22" i="4"/>
  <c r="I21" i="4"/>
  <c r="I2" i="4"/>
  <c r="H15" i="4"/>
  <c r="H14" i="4"/>
  <c r="H12" i="4"/>
  <c r="H11" i="4"/>
  <c r="H10" i="4"/>
  <c r="H9" i="4"/>
  <c r="H7" i="4"/>
  <c r="H6" i="4"/>
  <c r="H5" i="4"/>
  <c r="H4" i="4"/>
  <c r="H20" i="4"/>
  <c r="H18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19" i="4"/>
  <c r="H8" i="4"/>
  <c r="E3" i="4"/>
  <c r="E4" i="4" s="1"/>
  <c r="E5" i="4" s="1"/>
  <c r="E6" i="4" s="1"/>
  <c r="E7" i="4" s="1"/>
  <c r="H21" i="4" l="1"/>
  <c r="H23" i="4" l="1"/>
  <c r="I23" i="4" s="1"/>
  <c r="H25" i="4" l="1"/>
</calcChain>
</file>

<file path=xl/sharedStrings.xml><?xml version="1.0" encoding="utf-8"?>
<sst xmlns="http://schemas.openxmlformats.org/spreadsheetml/2006/main" count="318" uniqueCount="137">
  <si>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</si>
  <si>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</si>
  <si>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</si>
  <si>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</si>
  <si>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</si>
  <si>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</si>
  <si>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</si>
  <si>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</si>
  <si>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</si>
  <si>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</si>
  <si>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</si>
  <si>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</si>
  <si>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</si>
  <si>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</si>
  <si>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</si>
  <si>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</si>
  <si>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</si>
  <si>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</si>
  <si>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</si>
  <si>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</si>
  <si>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</si>
  <si>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</si>
  <si>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</si>
  <si>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</si>
  <si>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</si>
  <si>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</si>
  <si>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</si>
  <si>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</si>
  <si>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</si>
  <si>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</si>
  <si>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</si>
  <si>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</si>
  <si>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</si>
  <si>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</si>
  <si>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</si>
  <si>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장기</t>
  </si>
  <si>
    <t>일반</t>
  </si>
  <si>
    <t>자동차</t>
  </si>
  <si>
    <t>보험수익</t>
  </si>
  <si>
    <t>-</t>
  </si>
  <si>
    <t>  보험계약마진 상각</t>
  </si>
  <si>
    <t>재보험수익</t>
  </si>
  <si>
    <t>총 재보험수익</t>
  </si>
  <si>
    <t>재보험비용</t>
  </si>
  <si>
    <t>총 재보험비용</t>
  </si>
  <si>
    <t>KR0010</t>
    <phoneticPr fontId="2" type="noConversion"/>
  </si>
  <si>
    <t>KB손보</t>
    <phoneticPr fontId="2" type="noConversion"/>
  </si>
  <si>
    <t>2025.2Q</t>
    <phoneticPr fontId="2" type="noConversion"/>
  </si>
  <si>
    <t>4-2. 포괄손익계산서</t>
  </si>
  <si>
    <t>포괄손익계산서</t>
  </si>
  <si>
    <t>제 68 기 반기 2025.01.01 부터 2025.06.30 까지</t>
  </si>
  <si>
    <t>제 67 기 반기 2024.01.01 부터 2024.06.30 까지</t>
  </si>
  <si>
    <t>(단위 : 백만원)</t>
  </si>
  <si>
    <t>제 68 기 반기</t>
  </si>
  <si>
    <t>제 67 기 반기</t>
  </si>
  <si>
    <t>3개월</t>
  </si>
  <si>
    <t>누적</t>
  </si>
  <si>
    <t>보험손익</t>
  </si>
  <si>
    <t>　보험영업수익</t>
  </si>
  <si>
    <t>　　보험수익</t>
  </si>
  <si>
    <t>　　재보험수익</t>
  </si>
  <si>
    <t>　보험영업비용</t>
  </si>
  <si>
    <t>　　보험비용</t>
  </si>
  <si>
    <t>　　재보험비용</t>
  </si>
  <si>
    <t>　　기타사업비용</t>
  </si>
  <si>
    <t>투자손익</t>
  </si>
  <si>
    <t>　투자영업수익</t>
  </si>
  <si>
    <t>　　보험금융수익</t>
  </si>
  <si>
    <t>　　재보험금융수익</t>
  </si>
  <si>
    <t>　　이자수익</t>
  </si>
  <si>
    <t>　　배당수익</t>
  </si>
  <si>
    <t>　　유가증권 평가 및 처분이익</t>
  </si>
  <si>
    <t>　　대출채권 및 기타수취채권 평가 및 처분이익</t>
  </si>
  <si>
    <t>　　파생상품관련이익</t>
  </si>
  <si>
    <t>　　종속기업투자주식관련이익</t>
  </si>
  <si>
    <t>　　외화거래이익</t>
  </si>
  <si>
    <t>　　기타수익</t>
  </si>
  <si>
    <t>　투자영업비용</t>
  </si>
  <si>
    <t>　　보험금융비용</t>
  </si>
  <si>
    <t>　　재보험금융비용</t>
  </si>
  <si>
    <t>　　이자비용</t>
  </si>
  <si>
    <t>　　유가증권 평가 및 처분손실</t>
  </si>
  <si>
    <t>　　대출채권 및 기타수취채권 평가 및 처분손실</t>
  </si>
  <si>
    <t>　　파생상품관련손실</t>
  </si>
  <si>
    <t>　　종속기업투자주식관련손실</t>
  </si>
  <si>
    <t>　　외화거래손실</t>
  </si>
  <si>
    <t>　　재산관리비</t>
  </si>
  <si>
    <t>　　부동산관리비</t>
  </si>
  <si>
    <t>　　기타비용</t>
  </si>
  <si>
    <t>　영업외수익</t>
  </si>
  <si>
    <t>　영업외비용</t>
  </si>
  <si>
    <t>법인세비용차감전순이익</t>
  </si>
  <si>
    <t>법인세비용</t>
  </si>
  <si>
    <t>반기순이익</t>
  </si>
  <si>
    <t>대손준비금 반영후 조정이익</t>
  </si>
  <si>
    <t>비상위험준비금 반영후 조정이익</t>
  </si>
  <si>
    <t>해약환급금준비금 반영후 조정이익</t>
  </si>
  <si>
    <t>기타포괄손익</t>
  </si>
  <si>
    <t>　후속적으로 당기손익으로 재분류되지 않는 포괄손익</t>
  </si>
  <si>
    <t>　　확정급여채무 재측정요소</t>
  </si>
  <si>
    <t>　　기타포괄손익-공정가치측정 지분증권 관련손익</t>
  </si>
  <si>
    <t>　후속적으로 당기손익으로 재분류되는 포괄손익</t>
  </si>
  <si>
    <t>　　기타포괄손익-공정가치측정금융자산 평가손익</t>
  </si>
  <si>
    <t>　　기타포괄손익-공정가치측정유가증권 대손충당금</t>
  </si>
  <si>
    <t>　　현금흐름위험회피파생상품평가손익</t>
  </si>
  <si>
    <t>　　해외사업장환산손익</t>
  </si>
  <si>
    <t>　　보험계약 관련 금융손익</t>
  </si>
  <si>
    <t>　　재보험계약 관련 금융손익</t>
  </si>
  <si>
    <t>총포괄손익</t>
  </si>
  <si>
    <t>(4) 당반기와 전반기 중 보험손익의 상세내역은 다음과 같습니다(단위:백만원)</t>
  </si>
  <si>
    <t>&lt;당반기&gt;</t>
  </si>
  <si>
    <t>구분</t>
  </si>
  <si>
    <t>국내</t>
  </si>
  <si>
    <t>해외지점</t>
  </si>
  <si>
    <t>합계</t>
  </si>
  <si>
    <t> 보험료배분접근법 미적용 계약</t>
  </si>
  <si>
    <t>  예상 보험금 및 보험서비스비용</t>
  </si>
  <si>
    <t>  위험해제로 인한 위험조정의 변동</t>
  </si>
  <si>
    <t>  보험취득현금흐름의 회수</t>
  </si>
  <si>
    <t> 보험료배분접근법 미적용 계약 보험수익</t>
  </si>
  <si>
    <t> 보험료배분접근법 적용 계약 보험수익</t>
  </si>
  <si>
    <t>총 보험수익</t>
  </si>
  <si>
    <t>보험서비스비용</t>
  </si>
  <si>
    <t>  보험금 및 보험서비스비용</t>
  </si>
  <si>
    <t>  보험취득현금흐름</t>
  </si>
  <si>
    <t>  발생사고 이행현금흐름 변동분</t>
  </si>
  <si>
    <t>  손실부담계약의 손실 및 환입</t>
  </si>
  <si>
    <t>총 보험서비스비용</t>
  </si>
  <si>
    <t>  회수가능 보험금 및 보험서비스비용</t>
  </si>
  <si>
    <t>  손실회수요소의 인식 및 환입</t>
  </si>
  <si>
    <t>  회수예상 보험금 및 보험서비스비용</t>
  </si>
  <si>
    <t>  제공받은 서비스의 재보험계약마진</t>
  </si>
  <si>
    <t>  재보험료 경험조정</t>
  </si>
  <si>
    <t> 보험료배분접근법 미적용 계약 재보험비용</t>
  </si>
  <si>
    <t> 보험료배분접근법 적용 계약 재보험비용</t>
  </si>
  <si>
    <t>총 보험서비스결과</t>
  </si>
  <si>
    <t>&lt;- KB는 기타사업비용도 부문별로 다 나뉜채로 나옴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</si>
</sst>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굴림"/>
      <family val="3"/>
      <charset val="129"/>
    </font>
    <font>
      <sz val="6"/>
      <color rgb="FF000000"/>
      <name val="바탕"/>
      <family val="1"/>
      <charset val="129"/>
    </font>
    <font>
      <sz val="9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horizontal="justify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K25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1" x14ac:dyDescent="0.6">
      <c r="A1" s="9" t="s">
        <v>21</v>
      </c>
      <c r="B1" s="9" t="s">
        <v>20</v>
      </c>
      <c r="C1" s="9" t="s">
        <v>19</v>
      </c>
      <c r="D1" s="9" t="s">
        <v>18</v>
      </c>
      <c r="E1" s="9" t="s">
        <v>17</v>
      </c>
      <c r="F1" s="9" t="s">
        <v>16</v>
      </c>
      <c r="G1" s="9" t="s">
        <v>0</v>
      </c>
      <c r="H1" s="9" t="s">
        <v>15</v>
      </c>
      <c r="I1" s="9" t="s">
        <v>22</v>
      </c>
    </row>
    <row r="2" spans="1:11" x14ac:dyDescent="0.6">
      <c r="A2" s="9" t="s">
        <v>45</v>
      </c>
      <c r="B2" s="9" t="s">
        <v>46</v>
      </c>
      <c r="C2" s="9"/>
      <c r="D2" s="9" t="s">
        <v>3</v>
      </c>
      <c r="E2" s="9">
        <v>1</v>
      </c>
      <c r="F2" t="s">
        <v>14</v>
      </c>
      <c r="G2" s="9" t="s">
        <v>47</v>
      </c>
      <c r="H2" s="2">
        <f>H3+H14+H15+H16-H17</f>
        <v>500997</v>
      </c>
      <c r="I2" s="2" t="b">
        <f>ABS(ROUND(H2,0)-ROUND(포괄손익계산서!C8,0))&lt;2</f>
        <v>1</v>
      </c>
    </row>
    <row r="3" spans="1:11" x14ac:dyDescent="0.6">
      <c r="A3" s="9" t="s">
        <v>45</v>
      </c>
      <c r="B3" s="9" t="s">
        <v>46</v>
      </c>
      <c r="C3" s="9"/>
      <c r="D3" s="9" t="s">
        <v>3</v>
      </c>
      <c r="E3">
        <f t="shared" ref="E3" si="0">E2+1</f>
        <v>2</v>
      </c>
      <c r="F3" t="s">
        <v>23</v>
      </c>
      <c r="G3" t="s">
        <v>47</v>
      </c>
      <c r="H3" s="2">
        <f>H4+H9</f>
        <v>486097</v>
      </c>
    </row>
    <row r="4" spans="1:11" x14ac:dyDescent="0.6">
      <c r="A4" s="9" t="s">
        <v>45</v>
      </c>
      <c r="B4" s="9" t="s">
        <v>46</v>
      </c>
      <c r="C4" s="9"/>
      <c r="D4" s="9" t="s">
        <v>3</v>
      </c>
      <c r="E4">
        <f t="shared" ref="E4:E7" si="1">E3+1</f>
        <v>3</v>
      </c>
      <c r="F4" t="s">
        <v>24</v>
      </c>
      <c r="G4" t="s">
        <v>47</v>
      </c>
      <c r="H4" s="2">
        <f>보험손익!G15+보험손익!G21</f>
        <v>489215</v>
      </c>
    </row>
    <row r="5" spans="1:11" x14ac:dyDescent="0.6">
      <c r="A5" s="9" t="s">
        <v>45</v>
      </c>
      <c r="B5" s="9" t="s">
        <v>46</v>
      </c>
      <c r="C5" s="9"/>
      <c r="D5" s="9" t="s">
        <v>3</v>
      </c>
      <c r="E5">
        <f t="shared" si="1"/>
        <v>4</v>
      </c>
      <c r="F5" t="s">
        <v>27</v>
      </c>
      <c r="G5" t="s">
        <v>47</v>
      </c>
      <c r="H5" s="2">
        <f>보험손익!G11</f>
        <v>423962</v>
      </c>
    </row>
    <row r="6" spans="1:11" x14ac:dyDescent="0.6">
      <c r="A6" s="9" t="s">
        <v>45</v>
      </c>
      <c r="B6" s="9" t="s">
        <v>46</v>
      </c>
      <c r="C6" s="9"/>
      <c r="D6" s="9" t="s">
        <v>3</v>
      </c>
      <c r="E6">
        <f t="shared" si="1"/>
        <v>5</v>
      </c>
      <c r="F6" t="s">
        <v>28</v>
      </c>
      <c r="G6" t="s">
        <v>47</v>
      </c>
      <c r="H6" s="2">
        <f>보험손익!G10</f>
        <v>100970</v>
      </c>
    </row>
    <row r="7" spans="1:11" x14ac:dyDescent="0.6">
      <c r="A7" s="9" t="s">
        <v>45</v>
      </c>
      <c r="B7" s="9" t="s">
        <v>46</v>
      </c>
      <c r="C7" s="9"/>
      <c r="D7" s="9" t="s">
        <v>3</v>
      </c>
      <c r="E7">
        <f t="shared" si="1"/>
        <v>6</v>
      </c>
      <c r="F7" t="s">
        <v>29</v>
      </c>
      <c r="G7" t="s">
        <v>47</v>
      </c>
      <c r="H7" s="2">
        <f>보험손익!G9+보험손익!G17</f>
        <v>-91459</v>
      </c>
    </row>
    <row r="8" spans="1:11" x14ac:dyDescent="0.6">
      <c r="A8" s="9" t="s">
        <v>45</v>
      </c>
      <c r="B8" s="9" t="s">
        <v>46</v>
      </c>
      <c r="C8" s="9"/>
      <c r="D8" s="9" t="s">
        <v>26</v>
      </c>
      <c r="E8">
        <f t="shared" ref="E8:E25" si="2">E7+1</f>
        <v>7</v>
      </c>
      <c r="F8" t="s">
        <v>30</v>
      </c>
      <c r="G8" t="s">
        <v>47</v>
      </c>
      <c r="H8" s="2">
        <f>H4-SUM(H5:H7)</f>
        <v>55742</v>
      </c>
      <c r="K8" s="2"/>
    </row>
    <row r="9" spans="1:11" x14ac:dyDescent="0.6">
      <c r="A9" s="9" t="s">
        <v>45</v>
      </c>
      <c r="B9" s="9" t="s">
        <v>46</v>
      </c>
      <c r="C9" s="9"/>
      <c r="D9" s="9" t="s">
        <v>26</v>
      </c>
      <c r="E9">
        <f t="shared" si="2"/>
        <v>8</v>
      </c>
      <c r="F9" t="s">
        <v>25</v>
      </c>
      <c r="G9" t="s">
        <v>47</v>
      </c>
      <c r="H9" s="2">
        <f>보험손익!G26+보험손익!G35</f>
        <v>-3118</v>
      </c>
      <c r="K9" s="2"/>
    </row>
    <row r="10" spans="1:11" x14ac:dyDescent="0.6">
      <c r="A10" s="9" t="s">
        <v>45</v>
      </c>
      <c r="B10" s="9" t="s">
        <v>46</v>
      </c>
      <c r="C10" s="9"/>
      <c r="D10" s="9" t="s">
        <v>26</v>
      </c>
      <c r="E10">
        <f t="shared" si="2"/>
        <v>9</v>
      </c>
      <c r="F10" t="s">
        <v>31</v>
      </c>
      <c r="G10" t="s">
        <v>47</v>
      </c>
      <c r="H10" s="2">
        <f>보험손익!G31</f>
        <v>-1538</v>
      </c>
      <c r="K10" s="2"/>
    </row>
    <row r="11" spans="1:11" x14ac:dyDescent="0.6">
      <c r="A11" s="9" t="s">
        <v>45</v>
      </c>
      <c r="B11" s="9" t="s">
        <v>46</v>
      </c>
      <c r="C11" s="9"/>
      <c r="D11" s="9" t="s">
        <v>26</v>
      </c>
      <c r="E11">
        <f t="shared" si="2"/>
        <v>10</v>
      </c>
      <c r="F11" t="s">
        <v>32</v>
      </c>
      <c r="G11" t="s">
        <v>47</v>
      </c>
      <c r="H11" s="2">
        <f>보험손익!G30</f>
        <v>-4377</v>
      </c>
      <c r="K11" s="2"/>
    </row>
    <row r="12" spans="1:11" x14ac:dyDescent="0.6">
      <c r="A12" s="9" t="s">
        <v>45</v>
      </c>
      <c r="B12" s="9" t="s">
        <v>46</v>
      </c>
      <c r="C12" s="9"/>
      <c r="D12" s="9" t="s">
        <v>26</v>
      </c>
      <c r="E12">
        <f t="shared" si="2"/>
        <v>11</v>
      </c>
      <c r="F12" t="s">
        <v>33</v>
      </c>
      <c r="G12" t="s">
        <v>47</v>
      </c>
      <c r="H12" s="2">
        <f>보험손익!G23+보험손익!G29</f>
        <v>4213</v>
      </c>
      <c r="K12" s="2"/>
    </row>
    <row r="13" spans="1:11" x14ac:dyDescent="0.6">
      <c r="A13" s="9" t="s">
        <v>45</v>
      </c>
      <c r="B13" s="9" t="s">
        <v>46</v>
      </c>
      <c r="C13" s="9"/>
      <c r="D13" s="9" t="s">
        <v>26</v>
      </c>
      <c r="E13">
        <f t="shared" si="2"/>
        <v>12</v>
      </c>
      <c r="F13" t="s">
        <v>34</v>
      </c>
      <c r="G13" t="s">
        <v>47</v>
      </c>
      <c r="H13" s="2">
        <f>H9-SUM(H10:H12)</f>
        <v>-1416</v>
      </c>
      <c r="K13" s="2"/>
    </row>
    <row r="14" spans="1:11" x14ac:dyDescent="0.6">
      <c r="A14" s="9" t="s">
        <v>45</v>
      </c>
      <c r="B14" s="9" t="s">
        <v>46</v>
      </c>
      <c r="C14" s="9"/>
      <c r="D14" s="9" t="s">
        <v>26</v>
      </c>
      <c r="E14">
        <f t="shared" si="2"/>
        <v>13</v>
      </c>
      <c r="F14" t="s">
        <v>13</v>
      </c>
      <c r="G14" t="s">
        <v>47</v>
      </c>
      <c r="H14" s="2">
        <f>보험손익!I36</f>
        <v>8562</v>
      </c>
    </row>
    <row r="15" spans="1:11" x14ac:dyDescent="0.6">
      <c r="A15" s="9" t="s">
        <v>45</v>
      </c>
      <c r="B15" s="9" t="s">
        <v>46</v>
      </c>
      <c r="C15" s="9"/>
      <c r="D15" s="9" t="s">
        <v>3</v>
      </c>
      <c r="E15">
        <f t="shared" si="2"/>
        <v>14</v>
      </c>
      <c r="F15" t="s">
        <v>12</v>
      </c>
      <c r="G15" t="s">
        <v>47</v>
      </c>
      <c r="H15" s="2">
        <f>보험손익!H36+보험손익!J36</f>
        <v>6338</v>
      </c>
    </row>
    <row r="16" spans="1:11" x14ac:dyDescent="0.6">
      <c r="A16" s="9" t="s">
        <v>45</v>
      </c>
      <c r="B16" s="9" t="s">
        <v>46</v>
      </c>
      <c r="C16" s="9"/>
      <c r="D16" s="9" t="s">
        <v>3</v>
      </c>
      <c r="E16">
        <f t="shared" si="2"/>
        <v>15</v>
      </c>
      <c r="F16" t="s">
        <v>8</v>
      </c>
      <c r="G16" t="s">
        <v>47</v>
      </c>
      <c r="H16" s="2"/>
    </row>
    <row r="17" spans="1:9" x14ac:dyDescent="0.6">
      <c r="A17" s="9" t="s">
        <v>45</v>
      </c>
      <c r="B17" s="9" t="s">
        <v>46</v>
      </c>
      <c r="C17" s="9"/>
      <c r="D17" s="9" t="s">
        <v>3</v>
      </c>
      <c r="E17">
        <f t="shared" si="2"/>
        <v>16</v>
      </c>
      <c r="F17" t="s">
        <v>7</v>
      </c>
      <c r="G17" t="s">
        <v>47</v>
      </c>
      <c r="H17" s="2"/>
      <c r="I17" t="s">
        <v>136</v>
      </c>
    </row>
    <row r="18" spans="1:9" x14ac:dyDescent="0.6">
      <c r="A18" s="9" t="s">
        <v>45</v>
      </c>
      <c r="B18" s="9" t="s">
        <v>46</v>
      </c>
      <c r="C18" s="9"/>
      <c r="D18" s="9" t="s">
        <v>3</v>
      </c>
      <c r="E18">
        <f t="shared" si="2"/>
        <v>17</v>
      </c>
      <c r="F18" t="s">
        <v>11</v>
      </c>
      <c r="G18" t="s">
        <v>47</v>
      </c>
      <c r="H18" s="2">
        <f>포괄손익계산서!C16</f>
        <v>262261</v>
      </c>
    </row>
    <row r="19" spans="1:9" x14ac:dyDescent="0.6">
      <c r="A19" s="9" t="s">
        <v>45</v>
      </c>
      <c r="B19" s="9" t="s">
        <v>46</v>
      </c>
      <c r="C19" s="9"/>
      <c r="D19" s="9" t="s">
        <v>3</v>
      </c>
      <c r="E19">
        <f t="shared" si="2"/>
        <v>18</v>
      </c>
      <c r="F19" t="s">
        <v>10</v>
      </c>
      <c r="G19" t="s">
        <v>47</v>
      </c>
      <c r="H19" s="2">
        <f>H18-H20</f>
        <v>437797</v>
      </c>
    </row>
    <row r="20" spans="1:9" x14ac:dyDescent="0.6">
      <c r="A20" s="9" t="s">
        <v>45</v>
      </c>
      <c r="B20" s="9" t="s">
        <v>46</v>
      </c>
      <c r="C20" s="9"/>
      <c r="D20" s="9" t="s">
        <v>3</v>
      </c>
      <c r="E20">
        <f t="shared" si="2"/>
        <v>19</v>
      </c>
      <c r="F20" t="s">
        <v>9</v>
      </c>
      <c r="G20" t="s">
        <v>47</v>
      </c>
      <c r="H20" s="2">
        <f>포괄손익계산서!B18+포괄손익계산서!B19-포괄손익계산서!B29-포괄손익계산서!B30</f>
        <v>-175536</v>
      </c>
    </row>
    <row r="21" spans="1:9" x14ac:dyDescent="0.6">
      <c r="A21" s="9" t="s">
        <v>45</v>
      </c>
      <c r="B21" s="9" t="s">
        <v>46</v>
      </c>
      <c r="C21" s="9"/>
      <c r="D21" s="9" t="s">
        <v>3</v>
      </c>
      <c r="E21">
        <f t="shared" si="2"/>
        <v>20</v>
      </c>
      <c r="F21" t="s">
        <v>1</v>
      </c>
      <c r="G21" t="s">
        <v>47</v>
      </c>
      <c r="H21" s="2">
        <f>H2+H18</f>
        <v>763258</v>
      </c>
      <c r="I21" t="b">
        <f>ABS(ROUND(H21,0)-ROUND(포괄손익계산서!C40,0))&lt;2</f>
        <v>1</v>
      </c>
    </row>
    <row r="22" spans="1:9" x14ac:dyDescent="0.6">
      <c r="A22" s="9" t="s">
        <v>45</v>
      </c>
      <c r="B22" s="9" t="s">
        <v>46</v>
      </c>
      <c r="C22" s="9"/>
      <c r="D22" s="9" t="s">
        <v>3</v>
      </c>
      <c r="E22">
        <f t="shared" si="2"/>
        <v>21</v>
      </c>
      <c r="F22" t="s">
        <v>6</v>
      </c>
      <c r="G22" t="s">
        <v>47</v>
      </c>
      <c r="H22" s="2">
        <f>포괄손익계산서!C41</f>
        <v>1008</v>
      </c>
    </row>
    <row r="23" spans="1:9" x14ac:dyDescent="0.6">
      <c r="A23" s="9" t="s">
        <v>45</v>
      </c>
      <c r="B23" s="9" t="s">
        <v>46</v>
      </c>
      <c r="C23" s="9"/>
      <c r="D23" s="9" t="s">
        <v>3</v>
      </c>
      <c r="E23">
        <f t="shared" si="2"/>
        <v>22</v>
      </c>
      <c r="F23" t="s">
        <v>5</v>
      </c>
      <c r="G23" t="s">
        <v>47</v>
      </c>
      <c r="H23" s="2">
        <f>H21+H22</f>
        <v>764266</v>
      </c>
      <c r="I23" t="b">
        <f>ABS(ROUND(H23,0)-ROUND(포괄손익계산서!C44,0))&lt;2</f>
        <v>1</v>
      </c>
    </row>
    <row r="24" spans="1:9" x14ac:dyDescent="0.6">
      <c r="A24" s="9" t="s">
        <v>45</v>
      </c>
      <c r="B24" s="9" t="s">
        <v>46</v>
      </c>
      <c r="C24" s="9"/>
      <c r="D24" s="9" t="s">
        <v>3</v>
      </c>
      <c r="E24">
        <f t="shared" si="2"/>
        <v>23</v>
      </c>
      <c r="F24" t="s">
        <v>4</v>
      </c>
      <c r="G24" t="s">
        <v>47</v>
      </c>
      <c r="H24" s="2">
        <f>포괄손익계산서!C45</f>
        <v>198179</v>
      </c>
    </row>
    <row r="25" spans="1:9" x14ac:dyDescent="0.6">
      <c r="A25" s="9" t="s">
        <v>45</v>
      </c>
      <c r="B25" s="9" t="s">
        <v>46</v>
      </c>
      <c r="C25" s="9"/>
      <c r="D25" s="9" t="s">
        <v>3</v>
      </c>
      <c r="E25">
        <f t="shared" si="2"/>
        <v>24</v>
      </c>
      <c r="F25" t="s">
        <v>2</v>
      </c>
      <c r="G25" t="s">
        <v>47</v>
      </c>
      <c r="H25" s="2">
        <f>H23-H24</f>
        <v>566087</v>
      </c>
      <c r="I25" s="2" t="b">
        <f>ABS(ROUND(H25,0)-ROUND(포괄손익계산서!C46,0))&lt;2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248A-C364-46D5-83DC-A0E51DBEED06}">
  <dimension ref="A1:E61"/>
  <sheetViews>
    <sheetView topLeftCell="A39" workbookViewId="0">
      <selection activeCell="C44" sqref="C44"/>
    </sheetView>
  </sheetViews>
  <sheetFormatPr defaultRowHeight="16.899999999999999" x14ac:dyDescent="0.6"/>
  <cols>
    <col min="1" max="1" width="48.5" bestFit="1" customWidth="1"/>
    <col min="2" max="2" width="19" bestFit="1" customWidth="1"/>
    <col min="3" max="3" width="19.125" bestFit="1" customWidth="1"/>
    <col min="4" max="4" width="19" bestFit="1" customWidth="1"/>
  </cols>
  <sheetData>
    <row r="1" spans="1:5" x14ac:dyDescent="0.6">
      <c r="A1" s="14" t="s">
        <v>48</v>
      </c>
    </row>
    <row r="2" spans="1:5" x14ac:dyDescent="0.6">
      <c r="A2" s="15" t="s">
        <v>49</v>
      </c>
    </row>
    <row r="3" spans="1:5" x14ac:dyDescent="0.6">
      <c r="A3" s="16" t="s">
        <v>50</v>
      </c>
    </row>
    <row r="4" spans="1:5" x14ac:dyDescent="0.6">
      <c r="A4" s="16" t="s">
        <v>51</v>
      </c>
    </row>
    <row r="5" spans="1:5" x14ac:dyDescent="0.6">
      <c r="A5" s="17" t="s">
        <v>52</v>
      </c>
    </row>
    <row r="6" spans="1:5" x14ac:dyDescent="0.6">
      <c r="A6" s="18"/>
      <c r="B6" s="20" t="s">
        <v>53</v>
      </c>
      <c r="C6" s="21"/>
      <c r="D6" s="20" t="s">
        <v>54</v>
      </c>
      <c r="E6" s="22"/>
    </row>
    <row r="7" spans="1:5" x14ac:dyDescent="0.6">
      <c r="A7" s="19"/>
      <c r="B7" s="1" t="s">
        <v>55</v>
      </c>
      <c r="C7" s="1" t="s">
        <v>56</v>
      </c>
      <c r="D7" s="1" t="s">
        <v>55</v>
      </c>
      <c r="E7" s="13" t="s">
        <v>56</v>
      </c>
    </row>
    <row r="8" spans="1:5" x14ac:dyDescent="0.6">
      <c r="A8" s="10" t="s">
        <v>57</v>
      </c>
      <c r="B8" s="3">
        <v>237930</v>
      </c>
      <c r="C8" s="3">
        <v>500996</v>
      </c>
      <c r="D8" s="3">
        <v>327651</v>
      </c>
      <c r="E8" s="5">
        <v>696031</v>
      </c>
    </row>
    <row r="9" spans="1:5" x14ac:dyDescent="0.6">
      <c r="A9" s="10" t="s">
        <v>58</v>
      </c>
      <c r="B9" s="3">
        <v>2780930</v>
      </c>
      <c r="C9" s="3">
        <v>5627212</v>
      </c>
      <c r="D9" s="3">
        <v>2587543</v>
      </c>
      <c r="E9" s="5">
        <v>5072607</v>
      </c>
    </row>
    <row r="10" spans="1:5" x14ac:dyDescent="0.6">
      <c r="A10" s="10" t="s">
        <v>59</v>
      </c>
      <c r="B10" s="3">
        <v>2639401</v>
      </c>
      <c r="C10" s="3">
        <v>5221444</v>
      </c>
      <c r="D10" s="3">
        <v>2489455</v>
      </c>
      <c r="E10" s="5">
        <v>4940044</v>
      </c>
    </row>
    <row r="11" spans="1:5" x14ac:dyDescent="0.6">
      <c r="A11" s="10" t="s">
        <v>60</v>
      </c>
      <c r="B11" s="3">
        <v>141529</v>
      </c>
      <c r="C11" s="3">
        <v>405768</v>
      </c>
      <c r="D11" s="3">
        <v>98088</v>
      </c>
      <c r="E11" s="5">
        <v>132563</v>
      </c>
    </row>
    <row r="12" spans="1:5" x14ac:dyDescent="0.6">
      <c r="A12" s="10" t="s">
        <v>61</v>
      </c>
      <c r="B12" s="3">
        <v>2543000</v>
      </c>
      <c r="C12" s="3">
        <v>5126216</v>
      </c>
      <c r="D12" s="3">
        <v>2259892</v>
      </c>
      <c r="E12" s="5">
        <v>4376576</v>
      </c>
    </row>
    <row r="13" spans="1:5" x14ac:dyDescent="0.6">
      <c r="A13" s="10" t="s">
        <v>62</v>
      </c>
      <c r="B13" s="3">
        <v>2233852</v>
      </c>
      <c r="C13" s="3">
        <v>4525749</v>
      </c>
      <c r="D13" s="3">
        <v>1952261</v>
      </c>
      <c r="E13" s="5">
        <v>3768777</v>
      </c>
    </row>
    <row r="14" spans="1:5" x14ac:dyDescent="0.6">
      <c r="A14" s="10" t="s">
        <v>63</v>
      </c>
      <c r="B14" s="3">
        <v>210334</v>
      </c>
      <c r="C14" s="3">
        <v>409726</v>
      </c>
      <c r="D14" s="3">
        <v>209387</v>
      </c>
      <c r="E14" s="5">
        <v>415663</v>
      </c>
    </row>
    <row r="15" spans="1:5" x14ac:dyDescent="0.6">
      <c r="A15" s="10" t="s">
        <v>64</v>
      </c>
      <c r="B15" s="3">
        <v>98814</v>
      </c>
      <c r="C15" s="3">
        <v>190741</v>
      </c>
      <c r="D15" s="3">
        <v>98244</v>
      </c>
      <c r="E15" s="5">
        <v>192136</v>
      </c>
    </row>
    <row r="16" spans="1:5" x14ac:dyDescent="0.6">
      <c r="A16" s="10" t="s">
        <v>65</v>
      </c>
      <c r="B16" s="3">
        <v>96510</v>
      </c>
      <c r="C16" s="3">
        <v>262261</v>
      </c>
      <c r="D16" s="3">
        <v>68946</v>
      </c>
      <c r="E16" s="5">
        <v>99627</v>
      </c>
    </row>
    <row r="17" spans="1:5" x14ac:dyDescent="0.6">
      <c r="A17" s="10" t="s">
        <v>66</v>
      </c>
      <c r="B17" s="3">
        <v>789521</v>
      </c>
      <c r="C17" s="3">
        <v>1404981</v>
      </c>
      <c r="D17" s="3">
        <v>548425</v>
      </c>
      <c r="E17" s="5">
        <v>1165598</v>
      </c>
    </row>
    <row r="18" spans="1:5" x14ac:dyDescent="0.6">
      <c r="A18" s="10" t="s">
        <v>67</v>
      </c>
      <c r="B18" s="3">
        <v>39384</v>
      </c>
      <c r="C18" s="3">
        <v>45207</v>
      </c>
      <c r="D18" s="3">
        <v>3510</v>
      </c>
      <c r="E18" s="5">
        <v>6926</v>
      </c>
    </row>
    <row r="19" spans="1:5" x14ac:dyDescent="0.6">
      <c r="A19" s="10" t="s">
        <v>68</v>
      </c>
      <c r="B19" s="3">
        <v>19093</v>
      </c>
      <c r="C19" s="3">
        <v>42581</v>
      </c>
      <c r="D19" s="3">
        <v>31016</v>
      </c>
      <c r="E19" s="5">
        <v>58634</v>
      </c>
    </row>
    <row r="20" spans="1:5" x14ac:dyDescent="0.6">
      <c r="A20" s="10" t="s">
        <v>69</v>
      </c>
      <c r="B20" s="3">
        <v>243011</v>
      </c>
      <c r="C20" s="3">
        <v>475998</v>
      </c>
      <c r="D20" s="3">
        <v>214906</v>
      </c>
      <c r="E20" s="5">
        <v>425761</v>
      </c>
    </row>
    <row r="21" spans="1:5" x14ac:dyDescent="0.6">
      <c r="A21" s="10" t="s">
        <v>70</v>
      </c>
      <c r="B21" s="3">
        <v>13188</v>
      </c>
      <c r="C21" s="3">
        <v>27760</v>
      </c>
      <c r="D21" s="3">
        <v>10658</v>
      </c>
      <c r="E21" s="5">
        <v>17521</v>
      </c>
    </row>
    <row r="22" spans="1:5" x14ac:dyDescent="0.6">
      <c r="A22" s="10" t="s">
        <v>71</v>
      </c>
      <c r="B22" s="3">
        <v>146388</v>
      </c>
      <c r="C22" s="3">
        <v>352477</v>
      </c>
      <c r="D22" s="3">
        <v>84973</v>
      </c>
      <c r="E22" s="5">
        <v>228061</v>
      </c>
    </row>
    <row r="23" spans="1:5" x14ac:dyDescent="0.6">
      <c r="A23" s="10" t="s">
        <v>72</v>
      </c>
      <c r="B23" s="3">
        <v>1953</v>
      </c>
      <c r="C23" s="3">
        <v>3225</v>
      </c>
      <c r="D23" s="4">
        <v>176</v>
      </c>
      <c r="E23" s="8">
        <v>789</v>
      </c>
    </row>
    <row r="24" spans="1:5" x14ac:dyDescent="0.6">
      <c r="A24" s="10" t="s">
        <v>73</v>
      </c>
      <c r="B24" s="3">
        <v>245545</v>
      </c>
      <c r="C24" s="3">
        <v>260148</v>
      </c>
      <c r="D24" s="4">
        <v>812</v>
      </c>
      <c r="E24" s="5">
        <v>3305</v>
      </c>
    </row>
    <row r="25" spans="1:5" x14ac:dyDescent="0.6">
      <c r="A25" s="10" t="s">
        <v>74</v>
      </c>
      <c r="B25" s="4">
        <v>-13</v>
      </c>
      <c r="C25" s="3">
        <v>1280</v>
      </c>
      <c r="D25" s="4">
        <v>435</v>
      </c>
      <c r="E25" s="5">
        <v>3007</v>
      </c>
    </row>
    <row r="26" spans="1:5" x14ac:dyDescent="0.6">
      <c r="A26" s="10" t="s">
        <v>75</v>
      </c>
      <c r="B26" s="3">
        <v>-5085</v>
      </c>
      <c r="C26" s="3">
        <v>17390</v>
      </c>
      <c r="D26" s="3">
        <v>111459</v>
      </c>
      <c r="E26" s="5">
        <v>242081</v>
      </c>
    </row>
    <row r="27" spans="1:5" x14ac:dyDescent="0.6">
      <c r="A27" s="10" t="s">
        <v>76</v>
      </c>
      <c r="B27" s="3">
        <v>86057</v>
      </c>
      <c r="C27" s="3">
        <v>178915</v>
      </c>
      <c r="D27" s="3">
        <v>90480</v>
      </c>
      <c r="E27" s="5">
        <v>179513</v>
      </c>
    </row>
    <row r="28" spans="1:5" x14ac:dyDescent="0.6">
      <c r="A28" s="10" t="s">
        <v>77</v>
      </c>
      <c r="B28" s="3">
        <v>693011</v>
      </c>
      <c r="C28" s="3">
        <v>1142720</v>
      </c>
      <c r="D28" s="3">
        <v>479479</v>
      </c>
      <c r="E28" s="5">
        <v>1065971</v>
      </c>
    </row>
    <row r="29" spans="1:5" x14ac:dyDescent="0.6">
      <c r="A29" s="10" t="s">
        <v>78</v>
      </c>
      <c r="B29" s="3">
        <v>186193</v>
      </c>
      <c r="C29" s="3">
        <v>383617</v>
      </c>
      <c r="D29" s="3">
        <v>201047</v>
      </c>
      <c r="E29" s="5">
        <v>416240</v>
      </c>
    </row>
    <row r="30" spans="1:5" x14ac:dyDescent="0.6">
      <c r="A30" s="10" t="s">
        <v>79</v>
      </c>
      <c r="B30" s="3">
        <v>47820</v>
      </c>
      <c r="C30" s="3">
        <v>57302</v>
      </c>
      <c r="D30" s="3">
        <v>15937</v>
      </c>
      <c r="E30" s="5">
        <v>30834</v>
      </c>
    </row>
    <row r="31" spans="1:5" x14ac:dyDescent="0.6">
      <c r="A31" s="10" t="s">
        <v>80</v>
      </c>
      <c r="B31" s="3">
        <v>69233</v>
      </c>
      <c r="C31" s="3">
        <v>127139</v>
      </c>
      <c r="D31" s="3">
        <v>48099</v>
      </c>
      <c r="E31" s="5">
        <v>97185</v>
      </c>
    </row>
    <row r="32" spans="1:5" x14ac:dyDescent="0.6">
      <c r="A32" s="10" t="s">
        <v>81</v>
      </c>
      <c r="B32" s="3">
        <v>126989</v>
      </c>
      <c r="C32" s="3">
        <v>238021</v>
      </c>
      <c r="D32" s="3">
        <v>71780</v>
      </c>
      <c r="E32" s="5">
        <v>212538</v>
      </c>
    </row>
    <row r="33" spans="1:5" x14ac:dyDescent="0.6">
      <c r="A33" s="10" t="s">
        <v>82</v>
      </c>
      <c r="B33" s="4">
        <v>424</v>
      </c>
      <c r="C33" s="3">
        <v>2806</v>
      </c>
      <c r="D33" s="3">
        <v>1466</v>
      </c>
      <c r="E33" s="5">
        <v>9342</v>
      </c>
    </row>
    <row r="34" spans="1:5" x14ac:dyDescent="0.6">
      <c r="A34" s="10" t="s">
        <v>83</v>
      </c>
      <c r="B34" s="3">
        <v>-11168</v>
      </c>
      <c r="C34" s="3">
        <v>30762</v>
      </c>
      <c r="D34" s="3">
        <v>123132</v>
      </c>
      <c r="E34" s="5">
        <v>266658</v>
      </c>
    </row>
    <row r="35" spans="1:5" x14ac:dyDescent="0.6">
      <c r="A35" s="10" t="s">
        <v>84</v>
      </c>
      <c r="B35" s="4">
        <v>728</v>
      </c>
      <c r="C35" s="3">
        <v>2654</v>
      </c>
      <c r="D35" s="3">
        <v>3335</v>
      </c>
      <c r="E35" s="5">
        <v>4410</v>
      </c>
    </row>
    <row r="36" spans="1:5" x14ac:dyDescent="0.6">
      <c r="A36" s="10" t="s">
        <v>85</v>
      </c>
      <c r="B36" s="3">
        <v>258809</v>
      </c>
      <c r="C36" s="3">
        <v>270093</v>
      </c>
      <c r="D36" s="4">
        <v>-302</v>
      </c>
      <c r="E36" s="8">
        <v>886</v>
      </c>
    </row>
    <row r="37" spans="1:5" x14ac:dyDescent="0.6">
      <c r="A37" s="10" t="s">
        <v>86</v>
      </c>
      <c r="B37" s="3">
        <v>4780</v>
      </c>
      <c r="C37" s="3">
        <v>11878</v>
      </c>
      <c r="D37" s="3">
        <v>6345</v>
      </c>
      <c r="E37" s="5">
        <v>13136</v>
      </c>
    </row>
    <row r="38" spans="1:5" x14ac:dyDescent="0.6">
      <c r="A38" s="10" t="s">
        <v>87</v>
      </c>
      <c r="B38" s="4">
        <v>879</v>
      </c>
      <c r="C38" s="3">
        <v>1810</v>
      </c>
      <c r="D38" s="3">
        <v>1106</v>
      </c>
      <c r="E38" s="5">
        <v>2127</v>
      </c>
    </row>
    <row r="39" spans="1:5" x14ac:dyDescent="0.6">
      <c r="A39" s="10" t="s">
        <v>88</v>
      </c>
      <c r="B39" s="3">
        <v>8324</v>
      </c>
      <c r="C39" s="3">
        <v>16638</v>
      </c>
      <c r="D39" s="3">
        <v>7534</v>
      </c>
      <c r="E39" s="5">
        <v>12615</v>
      </c>
    </row>
    <row r="40" spans="1:5" x14ac:dyDescent="0.6">
      <c r="A40" s="10" t="s">
        <v>1</v>
      </c>
      <c r="B40" s="3">
        <v>334440</v>
      </c>
      <c r="C40" s="3">
        <v>763257</v>
      </c>
      <c r="D40" s="3">
        <v>396597</v>
      </c>
      <c r="E40" s="5">
        <v>795658</v>
      </c>
    </row>
    <row r="41" spans="1:5" x14ac:dyDescent="0.6">
      <c r="A41" s="10" t="s">
        <v>6</v>
      </c>
      <c r="B41" s="4">
        <v>-219</v>
      </c>
      <c r="C41" s="3">
        <v>1008</v>
      </c>
      <c r="D41" s="3">
        <v>-1217</v>
      </c>
      <c r="E41" s="5">
        <v>-1822</v>
      </c>
    </row>
    <row r="42" spans="1:5" x14ac:dyDescent="0.6">
      <c r="A42" s="10" t="s">
        <v>89</v>
      </c>
      <c r="B42" s="3">
        <v>2476</v>
      </c>
      <c r="C42" s="3">
        <v>5103</v>
      </c>
      <c r="D42" s="3">
        <v>1131</v>
      </c>
      <c r="E42" s="5">
        <v>2507</v>
      </c>
    </row>
    <row r="43" spans="1:5" x14ac:dyDescent="0.6">
      <c r="A43" s="10" t="s">
        <v>90</v>
      </c>
      <c r="B43" s="3">
        <v>2695</v>
      </c>
      <c r="C43" s="3">
        <v>4095</v>
      </c>
      <c r="D43" s="3">
        <v>2348</v>
      </c>
      <c r="E43" s="5">
        <v>4329</v>
      </c>
    </row>
    <row r="44" spans="1:5" x14ac:dyDescent="0.6">
      <c r="A44" s="10" t="s">
        <v>91</v>
      </c>
      <c r="B44" s="3">
        <v>334221</v>
      </c>
      <c r="C44" s="3">
        <v>764265</v>
      </c>
      <c r="D44" s="3">
        <v>395380</v>
      </c>
      <c r="E44" s="5">
        <v>793836</v>
      </c>
    </row>
    <row r="45" spans="1:5" x14ac:dyDescent="0.6">
      <c r="A45" s="10" t="s">
        <v>92</v>
      </c>
      <c r="B45" s="3">
        <v>87954</v>
      </c>
      <c r="C45" s="3">
        <v>198179</v>
      </c>
      <c r="D45" s="3">
        <v>102747</v>
      </c>
      <c r="E45" s="5">
        <v>205269</v>
      </c>
    </row>
    <row r="46" spans="1:5" x14ac:dyDescent="0.6">
      <c r="A46" s="10" t="s">
        <v>93</v>
      </c>
      <c r="B46" s="3">
        <v>246267</v>
      </c>
      <c r="C46" s="3">
        <v>566086</v>
      </c>
      <c r="D46" s="3">
        <v>292633</v>
      </c>
      <c r="E46" s="5">
        <v>588567</v>
      </c>
    </row>
    <row r="47" spans="1:5" x14ac:dyDescent="0.6">
      <c r="A47" s="10" t="s">
        <v>94</v>
      </c>
      <c r="B47" s="3">
        <v>242423</v>
      </c>
      <c r="C47" s="3">
        <v>560395</v>
      </c>
      <c r="D47" s="3">
        <v>295662</v>
      </c>
      <c r="E47" s="5">
        <v>591157</v>
      </c>
    </row>
    <row r="48" spans="1:5" x14ac:dyDescent="0.6">
      <c r="A48" s="10" t="s">
        <v>95</v>
      </c>
      <c r="B48" s="3">
        <v>220071</v>
      </c>
      <c r="C48" s="3">
        <v>512358</v>
      </c>
      <c r="D48" s="3">
        <v>269274</v>
      </c>
      <c r="E48" s="5">
        <v>538380</v>
      </c>
    </row>
    <row r="49" spans="1:5" x14ac:dyDescent="0.6">
      <c r="A49" s="10" t="s">
        <v>96</v>
      </c>
      <c r="B49" s="3">
        <v>418225</v>
      </c>
      <c r="C49" s="3">
        <v>122350</v>
      </c>
      <c r="D49" s="3">
        <v>77750</v>
      </c>
      <c r="E49" s="5">
        <v>123042</v>
      </c>
    </row>
    <row r="50" spans="1:5" x14ac:dyDescent="0.6">
      <c r="A50" s="10" t="s">
        <v>97</v>
      </c>
      <c r="B50" s="3">
        <v>81669</v>
      </c>
      <c r="C50" s="3">
        <v>-542375</v>
      </c>
      <c r="D50" s="3">
        <v>-302016</v>
      </c>
      <c r="E50" s="5">
        <v>-754145</v>
      </c>
    </row>
    <row r="51" spans="1:5" x14ac:dyDescent="0.6">
      <c r="A51" s="10" t="s">
        <v>98</v>
      </c>
      <c r="B51" s="3">
        <v>4151</v>
      </c>
      <c r="C51" s="3">
        <v>5870</v>
      </c>
      <c r="D51" s="3">
        <v>1491</v>
      </c>
      <c r="E51" s="5">
        <v>-3145</v>
      </c>
    </row>
    <row r="52" spans="1:5" x14ac:dyDescent="0.6">
      <c r="A52" s="10" t="s">
        <v>99</v>
      </c>
      <c r="B52" s="4">
        <v>494</v>
      </c>
      <c r="C52" s="4">
        <v>128</v>
      </c>
      <c r="D52" s="4">
        <v>-47</v>
      </c>
      <c r="E52" s="8">
        <v>203</v>
      </c>
    </row>
    <row r="53" spans="1:5" x14ac:dyDescent="0.6">
      <c r="A53" s="10" t="s">
        <v>100</v>
      </c>
      <c r="B53" s="3">
        <v>3657</v>
      </c>
      <c r="C53" s="3">
        <v>5742</v>
      </c>
      <c r="D53" s="3">
        <v>1538</v>
      </c>
      <c r="E53" s="5">
        <v>-3348</v>
      </c>
    </row>
    <row r="54" spans="1:5" x14ac:dyDescent="0.6">
      <c r="A54" s="10" t="s">
        <v>101</v>
      </c>
      <c r="B54" s="3">
        <v>77518</v>
      </c>
      <c r="C54" s="3">
        <v>-548245</v>
      </c>
      <c r="D54" s="3">
        <v>-303507</v>
      </c>
      <c r="E54" s="5">
        <v>-751000</v>
      </c>
    </row>
    <row r="55" spans="1:5" x14ac:dyDescent="0.6">
      <c r="A55" s="10" t="s">
        <v>102</v>
      </c>
      <c r="B55" s="3">
        <v>-288159</v>
      </c>
      <c r="C55" s="3">
        <v>120423</v>
      </c>
      <c r="D55" s="3">
        <v>212992</v>
      </c>
      <c r="E55" s="5">
        <v>-97593</v>
      </c>
    </row>
    <row r="56" spans="1:5" x14ac:dyDescent="0.6">
      <c r="A56" s="10" t="s">
        <v>103</v>
      </c>
      <c r="B56" s="4">
        <v>-145</v>
      </c>
      <c r="C56" s="4">
        <v>-86</v>
      </c>
      <c r="D56" s="4">
        <v>194</v>
      </c>
      <c r="E56" s="8">
        <v>477</v>
      </c>
    </row>
    <row r="57" spans="1:5" x14ac:dyDescent="0.6">
      <c r="A57" s="10" t="s">
        <v>104</v>
      </c>
      <c r="B57" s="3">
        <v>-96269</v>
      </c>
      <c r="C57" s="3">
        <v>-36916</v>
      </c>
      <c r="D57" s="3">
        <v>28581</v>
      </c>
      <c r="E57" s="5">
        <v>-30817</v>
      </c>
    </row>
    <row r="58" spans="1:5" x14ac:dyDescent="0.6">
      <c r="A58" s="10" t="s">
        <v>105</v>
      </c>
      <c r="B58" s="3">
        <v>-4567</v>
      </c>
      <c r="C58" s="3">
        <v>-4729</v>
      </c>
      <c r="D58" s="3">
        <v>1870</v>
      </c>
      <c r="E58" s="5">
        <v>4476</v>
      </c>
    </row>
    <row r="59" spans="1:5" x14ac:dyDescent="0.6">
      <c r="A59" s="10" t="s">
        <v>106</v>
      </c>
      <c r="B59" s="3">
        <v>473414</v>
      </c>
      <c r="C59" s="3">
        <v>-631475</v>
      </c>
      <c r="D59" s="3">
        <v>-553626</v>
      </c>
      <c r="E59" s="5">
        <v>-640505</v>
      </c>
    </row>
    <row r="60" spans="1:5" x14ac:dyDescent="0.6">
      <c r="A60" s="10" t="s">
        <v>107</v>
      </c>
      <c r="B60" s="3">
        <v>-6756</v>
      </c>
      <c r="C60" s="3">
        <v>4538</v>
      </c>
      <c r="D60" s="3">
        <v>6482</v>
      </c>
      <c r="E60" s="5">
        <v>12962</v>
      </c>
    </row>
    <row r="61" spans="1:5" x14ac:dyDescent="0.6">
      <c r="A61" s="11" t="s">
        <v>108</v>
      </c>
      <c r="B61" s="6">
        <v>327936</v>
      </c>
      <c r="C61" s="6">
        <v>23711</v>
      </c>
      <c r="D61" s="6">
        <v>-9383</v>
      </c>
      <c r="E61" s="7">
        <v>-165578</v>
      </c>
    </row>
  </sheetData>
  <mergeCells count="3">
    <mergeCell ref="A6:A7"/>
    <mergeCell ref="B6:C6"/>
    <mergeCell ref="D6:E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K37"/>
  <sheetViews>
    <sheetView zoomScaleNormal="100"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K35" sqref="K35"/>
    </sheetView>
  </sheetViews>
  <sheetFormatPr defaultRowHeight="16.899999999999999" x14ac:dyDescent="0.6"/>
  <cols>
    <col min="1" max="1" width="22.8125" bestFit="1" customWidth="1"/>
    <col min="2" max="5" width="10.8125" bestFit="1" customWidth="1"/>
  </cols>
  <sheetData>
    <row r="1" spans="1:11" x14ac:dyDescent="0.6">
      <c r="A1" s="23" t="s">
        <v>109</v>
      </c>
    </row>
    <row r="2" spans="1:11" x14ac:dyDescent="0.6">
      <c r="A2" s="12"/>
    </row>
    <row r="3" spans="1:11" x14ac:dyDescent="0.6">
      <c r="A3" s="23" t="s">
        <v>110</v>
      </c>
    </row>
    <row r="4" spans="1:11" x14ac:dyDescent="0.6">
      <c r="A4" s="35" t="s">
        <v>111</v>
      </c>
      <c r="B4" s="38" t="s">
        <v>55</v>
      </c>
      <c r="C4" s="39"/>
      <c r="D4" s="39"/>
      <c r="E4" s="39"/>
      <c r="F4" s="40"/>
      <c r="G4" s="38" t="s">
        <v>56</v>
      </c>
      <c r="H4" s="39"/>
      <c r="I4" s="39"/>
      <c r="J4" s="39"/>
      <c r="K4" s="41"/>
    </row>
    <row r="5" spans="1:11" x14ac:dyDescent="0.6">
      <c r="A5" s="36"/>
      <c r="B5" s="42" t="s">
        <v>112</v>
      </c>
      <c r="C5" s="43"/>
      <c r="D5" s="44"/>
      <c r="E5" s="45" t="s">
        <v>113</v>
      </c>
      <c r="F5" s="45" t="s">
        <v>114</v>
      </c>
      <c r="G5" s="42" t="s">
        <v>112</v>
      </c>
      <c r="H5" s="43"/>
      <c r="I5" s="44"/>
      <c r="J5" s="45" t="s">
        <v>113</v>
      </c>
      <c r="K5" s="47" t="s">
        <v>114</v>
      </c>
    </row>
    <row r="6" spans="1:11" x14ac:dyDescent="0.6">
      <c r="A6" s="37"/>
      <c r="B6" s="24" t="s">
        <v>35</v>
      </c>
      <c r="C6" s="24" t="s">
        <v>36</v>
      </c>
      <c r="D6" s="24" t="s">
        <v>37</v>
      </c>
      <c r="E6" s="46"/>
      <c r="F6" s="46"/>
      <c r="G6" s="24" t="s">
        <v>35</v>
      </c>
      <c r="H6" s="24" t="s">
        <v>36</v>
      </c>
      <c r="I6" s="24" t="s">
        <v>37</v>
      </c>
      <c r="J6" s="46"/>
      <c r="K6" s="48"/>
    </row>
    <row r="7" spans="1:11" x14ac:dyDescent="0.6">
      <c r="A7" s="28" t="s">
        <v>38</v>
      </c>
      <c r="B7" s="26"/>
      <c r="C7" s="26"/>
      <c r="D7" s="26"/>
      <c r="E7" s="26"/>
      <c r="F7" s="26"/>
      <c r="G7" s="26"/>
      <c r="H7" s="26"/>
      <c r="I7" s="26"/>
      <c r="J7" s="26"/>
      <c r="K7" s="29"/>
    </row>
    <row r="8" spans="1:11" ht="17" customHeight="1" x14ac:dyDescent="0.6">
      <c r="A8" s="28" t="s">
        <v>115</v>
      </c>
      <c r="B8" s="26"/>
      <c r="C8" s="26"/>
      <c r="D8" s="26"/>
      <c r="E8" s="26"/>
      <c r="F8" s="26"/>
      <c r="G8" s="26"/>
      <c r="H8" s="26"/>
      <c r="I8" s="26"/>
      <c r="J8" s="26"/>
      <c r="K8" s="29"/>
    </row>
    <row r="9" spans="1:11" x14ac:dyDescent="0.6">
      <c r="A9" s="28" t="s">
        <v>116</v>
      </c>
      <c r="B9" s="27">
        <v>1240321</v>
      </c>
      <c r="C9" s="26" t="s">
        <v>39</v>
      </c>
      <c r="D9" s="26" t="s">
        <v>39</v>
      </c>
      <c r="E9" s="26" t="s">
        <v>39</v>
      </c>
      <c r="F9" s="27">
        <v>1240321</v>
      </c>
      <c r="G9" s="27">
        <v>2463321</v>
      </c>
      <c r="H9" s="26" t="s">
        <v>39</v>
      </c>
      <c r="I9" s="26" t="s">
        <v>39</v>
      </c>
      <c r="J9" s="26" t="s">
        <v>39</v>
      </c>
      <c r="K9" s="30">
        <v>2463321</v>
      </c>
    </row>
    <row r="10" spans="1:11" ht="22.5" x14ac:dyDescent="0.6">
      <c r="A10" s="28" t="s">
        <v>117</v>
      </c>
      <c r="B10" s="27">
        <v>51077</v>
      </c>
      <c r="C10" s="26" t="s">
        <v>39</v>
      </c>
      <c r="D10" s="26" t="s">
        <v>39</v>
      </c>
      <c r="E10" s="26" t="s">
        <v>39</v>
      </c>
      <c r="F10" s="27">
        <v>51077</v>
      </c>
      <c r="G10" s="27">
        <v>100970</v>
      </c>
      <c r="H10" s="26" t="s">
        <v>39</v>
      </c>
      <c r="I10" s="26" t="s">
        <v>39</v>
      </c>
      <c r="J10" s="26" t="s">
        <v>39</v>
      </c>
      <c r="K10" s="30">
        <v>100970</v>
      </c>
    </row>
    <row r="11" spans="1:11" x14ac:dyDescent="0.6">
      <c r="A11" s="28" t="s">
        <v>40</v>
      </c>
      <c r="B11" s="27">
        <v>210748</v>
      </c>
      <c r="C11" s="26" t="s">
        <v>39</v>
      </c>
      <c r="D11" s="26" t="s">
        <v>39</v>
      </c>
      <c r="E11" s="26" t="s">
        <v>39</v>
      </c>
      <c r="F11" s="27">
        <v>210748</v>
      </c>
      <c r="G11" s="27">
        <v>423962</v>
      </c>
      <c r="H11" s="26" t="s">
        <v>39</v>
      </c>
      <c r="I11" s="26" t="s">
        <v>39</v>
      </c>
      <c r="J11" s="26" t="s">
        <v>39</v>
      </c>
      <c r="K11" s="30">
        <v>423962</v>
      </c>
    </row>
    <row r="12" spans="1:11" x14ac:dyDescent="0.6">
      <c r="A12" s="28" t="s">
        <v>118</v>
      </c>
      <c r="B12" s="27">
        <v>66546</v>
      </c>
      <c r="C12" s="26" t="s">
        <v>39</v>
      </c>
      <c r="D12" s="26" t="s">
        <v>39</v>
      </c>
      <c r="E12" s="26" t="s">
        <v>39</v>
      </c>
      <c r="F12" s="27">
        <v>66546</v>
      </c>
      <c r="G12" s="27">
        <v>129388</v>
      </c>
      <c r="H12" s="26" t="s">
        <v>39</v>
      </c>
      <c r="I12" s="26" t="s">
        <v>39</v>
      </c>
      <c r="J12" s="26" t="s">
        <v>39</v>
      </c>
      <c r="K12" s="30">
        <v>129388</v>
      </c>
    </row>
    <row r="13" spans="1:11" ht="22.5" x14ac:dyDescent="0.6">
      <c r="A13" s="28" t="s">
        <v>119</v>
      </c>
      <c r="B13" s="27">
        <v>1568692</v>
      </c>
      <c r="C13" s="26" t="s">
        <v>39</v>
      </c>
      <c r="D13" s="26" t="s">
        <v>39</v>
      </c>
      <c r="E13" s="26" t="s">
        <v>39</v>
      </c>
      <c r="F13" s="27">
        <v>1568692</v>
      </c>
      <c r="G13" s="27">
        <v>3117641</v>
      </c>
      <c r="H13" s="26" t="s">
        <v>39</v>
      </c>
      <c r="I13" s="26" t="s">
        <v>39</v>
      </c>
      <c r="J13" s="26" t="s">
        <v>39</v>
      </c>
      <c r="K13" s="30">
        <v>3117641</v>
      </c>
    </row>
    <row r="14" spans="1:11" ht="22.5" x14ac:dyDescent="0.6">
      <c r="A14" s="28" t="s">
        <v>120</v>
      </c>
      <c r="B14" s="26" t="s">
        <v>39</v>
      </c>
      <c r="C14" s="27">
        <v>368158</v>
      </c>
      <c r="D14" s="27">
        <v>702089</v>
      </c>
      <c r="E14" s="26">
        <v>462</v>
      </c>
      <c r="F14" s="27">
        <v>1070709</v>
      </c>
      <c r="G14" s="26" t="s">
        <v>39</v>
      </c>
      <c r="H14" s="27">
        <v>706198</v>
      </c>
      <c r="I14" s="27">
        <v>1397143</v>
      </c>
      <c r="J14" s="26">
        <v>462</v>
      </c>
      <c r="K14" s="30">
        <v>2103803</v>
      </c>
    </row>
    <row r="15" spans="1:11" x14ac:dyDescent="0.6">
      <c r="A15" s="28" t="s">
        <v>121</v>
      </c>
      <c r="B15" s="27">
        <v>1568692</v>
      </c>
      <c r="C15" s="27">
        <v>368158</v>
      </c>
      <c r="D15" s="27">
        <v>702089</v>
      </c>
      <c r="E15" s="26">
        <v>462</v>
      </c>
      <c r="F15" s="27">
        <v>2639401</v>
      </c>
      <c r="G15" s="27">
        <v>3117641</v>
      </c>
      <c r="H15" s="27">
        <v>706198</v>
      </c>
      <c r="I15" s="27">
        <v>1397143</v>
      </c>
      <c r="J15" s="26">
        <v>462</v>
      </c>
      <c r="K15" s="30">
        <v>5221444</v>
      </c>
    </row>
    <row r="16" spans="1:11" x14ac:dyDescent="0.6">
      <c r="A16" s="28" t="s">
        <v>122</v>
      </c>
      <c r="B16" s="25"/>
      <c r="C16" s="25"/>
      <c r="D16" s="25"/>
      <c r="E16" s="25"/>
      <c r="F16" s="25"/>
      <c r="G16" s="25"/>
      <c r="H16" s="25"/>
      <c r="I16" s="25"/>
      <c r="J16" s="25"/>
      <c r="K16" s="31"/>
    </row>
    <row r="17" spans="1:11" x14ac:dyDescent="0.6">
      <c r="A17" s="28" t="s">
        <v>123</v>
      </c>
      <c r="B17" s="27">
        <v>-1293211</v>
      </c>
      <c r="C17" s="27">
        <v>-378894</v>
      </c>
      <c r="D17" s="27">
        <v>-619584</v>
      </c>
      <c r="E17" s="27">
        <v>-3686</v>
      </c>
      <c r="F17" s="27">
        <v>-2295375</v>
      </c>
      <c r="G17" s="27">
        <v>-2554780</v>
      </c>
      <c r="H17" s="27">
        <v>-626201</v>
      </c>
      <c r="I17" s="27">
        <v>-1219640</v>
      </c>
      <c r="J17" s="27">
        <v>-5940</v>
      </c>
      <c r="K17" s="30">
        <v>-4406561</v>
      </c>
    </row>
    <row r="18" spans="1:11" x14ac:dyDescent="0.6">
      <c r="A18" s="28" t="s">
        <v>124</v>
      </c>
      <c r="B18" s="27">
        <v>-80538</v>
      </c>
      <c r="C18" s="27">
        <v>-39885</v>
      </c>
      <c r="D18" s="27">
        <v>-80149</v>
      </c>
      <c r="E18" s="26" t="s">
        <v>39</v>
      </c>
      <c r="F18" s="27">
        <v>-200572</v>
      </c>
      <c r="G18" s="27">
        <v>-153872</v>
      </c>
      <c r="H18" s="27">
        <v>-78413</v>
      </c>
      <c r="I18" s="27">
        <v>-157303</v>
      </c>
      <c r="J18" s="26" t="s">
        <v>39</v>
      </c>
      <c r="K18" s="30">
        <v>-389588</v>
      </c>
    </row>
    <row r="19" spans="1:11" x14ac:dyDescent="0.6">
      <c r="A19" s="28" t="s">
        <v>125</v>
      </c>
      <c r="B19" s="27">
        <v>43466</v>
      </c>
      <c r="C19" s="27">
        <v>125241</v>
      </c>
      <c r="D19" s="27">
        <v>3070</v>
      </c>
      <c r="E19" s="26" t="s">
        <v>39</v>
      </c>
      <c r="F19" s="27">
        <v>171777</v>
      </c>
      <c r="G19" s="27">
        <v>73472</v>
      </c>
      <c r="H19" s="27">
        <v>9204</v>
      </c>
      <c r="I19" s="27">
        <v>-10023</v>
      </c>
      <c r="J19" s="26" t="s">
        <v>39</v>
      </c>
      <c r="K19" s="30">
        <v>72653</v>
      </c>
    </row>
    <row r="20" spans="1:11" x14ac:dyDescent="0.6">
      <c r="A20" s="28" t="s">
        <v>126</v>
      </c>
      <c r="B20" s="27">
        <v>-7205</v>
      </c>
      <c r="C20" s="27">
        <v>-1291</v>
      </c>
      <c r="D20" s="26" t="s">
        <v>39</v>
      </c>
      <c r="E20" s="26" t="s">
        <v>39</v>
      </c>
      <c r="F20" s="27">
        <v>-8496</v>
      </c>
      <c r="G20" s="27">
        <v>6754</v>
      </c>
      <c r="H20" s="26">
        <v>252</v>
      </c>
      <c r="I20" s="26" t="s">
        <v>39</v>
      </c>
      <c r="J20" s="26" t="s">
        <v>39</v>
      </c>
      <c r="K20" s="30">
        <v>7006</v>
      </c>
    </row>
    <row r="21" spans="1:11" x14ac:dyDescent="0.6">
      <c r="A21" s="28" t="s">
        <v>127</v>
      </c>
      <c r="B21" s="27">
        <v>-1337488</v>
      </c>
      <c r="C21" s="27">
        <v>-294829</v>
      </c>
      <c r="D21" s="27">
        <v>-696663</v>
      </c>
      <c r="E21" s="27">
        <v>-3686</v>
      </c>
      <c r="F21" s="27">
        <v>-2332666</v>
      </c>
      <c r="G21" s="27">
        <v>-2628426</v>
      </c>
      <c r="H21" s="27">
        <v>-695158</v>
      </c>
      <c r="I21" s="27">
        <v>-1386966</v>
      </c>
      <c r="J21" s="27">
        <v>-5940</v>
      </c>
      <c r="K21" s="30">
        <v>-4716490</v>
      </c>
    </row>
    <row r="22" spans="1:11" x14ac:dyDescent="0.6">
      <c r="A22" s="28" t="s">
        <v>41</v>
      </c>
      <c r="B22" s="25"/>
      <c r="C22" s="25"/>
      <c r="D22" s="25"/>
      <c r="E22" s="25"/>
      <c r="F22" s="25"/>
      <c r="G22" s="25"/>
      <c r="H22" s="25"/>
      <c r="I22" s="25"/>
      <c r="J22" s="25"/>
      <c r="K22" s="31"/>
    </row>
    <row r="23" spans="1:11" ht="22.5" x14ac:dyDescent="0.6">
      <c r="A23" s="28" t="s">
        <v>128</v>
      </c>
      <c r="B23" s="27">
        <v>43299</v>
      </c>
      <c r="C23" s="27">
        <v>208592</v>
      </c>
      <c r="D23" s="26">
        <v>709</v>
      </c>
      <c r="E23" s="27">
        <v>10919</v>
      </c>
      <c r="F23" s="27">
        <v>263519</v>
      </c>
      <c r="G23" s="27">
        <v>88844</v>
      </c>
      <c r="H23" s="27">
        <v>282733</v>
      </c>
      <c r="I23" s="26">
        <v>727</v>
      </c>
      <c r="J23" s="27">
        <v>22576</v>
      </c>
      <c r="K23" s="30">
        <v>394880</v>
      </c>
    </row>
    <row r="24" spans="1:11" x14ac:dyDescent="0.6">
      <c r="A24" s="28" t="s">
        <v>125</v>
      </c>
      <c r="B24" s="27">
        <v>2582</v>
      </c>
      <c r="C24" s="27">
        <v>-126104</v>
      </c>
      <c r="D24" s="27">
        <v>1113</v>
      </c>
      <c r="E24" s="26" t="s">
        <v>39</v>
      </c>
      <c r="F24" s="27">
        <v>-122409</v>
      </c>
      <c r="G24" s="27">
        <v>7320</v>
      </c>
      <c r="H24" s="27">
        <v>5612</v>
      </c>
      <c r="I24" s="27">
        <v>1526</v>
      </c>
      <c r="J24" s="26" t="s">
        <v>39</v>
      </c>
      <c r="K24" s="30">
        <v>14458</v>
      </c>
    </row>
    <row r="25" spans="1:11" x14ac:dyDescent="0.6">
      <c r="A25" s="28" t="s">
        <v>129</v>
      </c>
      <c r="B25" s="26">
        <v>90</v>
      </c>
      <c r="C25" s="26">
        <v>330</v>
      </c>
      <c r="D25" s="26" t="s">
        <v>39</v>
      </c>
      <c r="E25" s="26" t="s">
        <v>39</v>
      </c>
      <c r="F25" s="26">
        <v>420</v>
      </c>
      <c r="G25" s="27">
        <v>-3737</v>
      </c>
      <c r="H25" s="26">
        <v>168</v>
      </c>
      <c r="I25" s="26" t="s">
        <v>39</v>
      </c>
      <c r="J25" s="26" t="s">
        <v>39</v>
      </c>
      <c r="K25" s="30">
        <v>-3569</v>
      </c>
    </row>
    <row r="26" spans="1:11" x14ac:dyDescent="0.6">
      <c r="A26" s="28" t="s">
        <v>42</v>
      </c>
      <c r="B26" s="27">
        <v>45971</v>
      </c>
      <c r="C26" s="27">
        <v>82818</v>
      </c>
      <c r="D26" s="27">
        <v>1822</v>
      </c>
      <c r="E26" s="27">
        <v>10919</v>
      </c>
      <c r="F26" s="27">
        <v>141530</v>
      </c>
      <c r="G26" s="27">
        <v>92427</v>
      </c>
      <c r="H26" s="27">
        <v>288513</v>
      </c>
      <c r="I26" s="27">
        <v>2253</v>
      </c>
      <c r="J26" s="27">
        <v>22576</v>
      </c>
      <c r="K26" s="30">
        <v>405769</v>
      </c>
    </row>
    <row r="27" spans="1:11" x14ac:dyDescent="0.6">
      <c r="A27" s="28" t="s">
        <v>43</v>
      </c>
      <c r="B27" s="25"/>
      <c r="C27" s="25"/>
      <c r="D27" s="25"/>
      <c r="E27" s="25"/>
      <c r="F27" s="25"/>
      <c r="G27" s="25"/>
      <c r="H27" s="25"/>
      <c r="I27" s="25"/>
      <c r="J27" s="25"/>
      <c r="K27" s="31"/>
    </row>
    <row r="28" spans="1:11" x14ac:dyDescent="0.6">
      <c r="A28" s="28" t="s">
        <v>115</v>
      </c>
      <c r="B28" s="25"/>
      <c r="C28" s="25"/>
      <c r="D28" s="25"/>
      <c r="E28" s="25"/>
      <c r="F28" s="25"/>
      <c r="G28" s="25"/>
      <c r="H28" s="25"/>
      <c r="I28" s="25"/>
      <c r="J28" s="25"/>
      <c r="K28" s="31"/>
    </row>
    <row r="29" spans="1:11" ht="22.5" x14ac:dyDescent="0.6">
      <c r="A29" s="28" t="s">
        <v>130</v>
      </c>
      <c r="B29" s="27">
        <v>-45839</v>
      </c>
      <c r="C29" s="26" t="s">
        <v>39</v>
      </c>
      <c r="D29" s="26" t="s">
        <v>39</v>
      </c>
      <c r="E29" s="26" t="s">
        <v>39</v>
      </c>
      <c r="F29" s="27">
        <v>-45839</v>
      </c>
      <c r="G29" s="27">
        <v>-84631</v>
      </c>
      <c r="H29" s="26" t="s">
        <v>39</v>
      </c>
      <c r="I29" s="26" t="s">
        <v>39</v>
      </c>
      <c r="J29" s="26" t="s">
        <v>39</v>
      </c>
      <c r="K29" s="30">
        <v>-84631</v>
      </c>
    </row>
    <row r="30" spans="1:11" ht="22.5" x14ac:dyDescent="0.6">
      <c r="A30" s="28" t="s">
        <v>117</v>
      </c>
      <c r="B30" s="27">
        <v>-2181</v>
      </c>
      <c r="C30" s="26" t="s">
        <v>39</v>
      </c>
      <c r="D30" s="26" t="s">
        <v>39</v>
      </c>
      <c r="E30" s="26" t="s">
        <v>39</v>
      </c>
      <c r="F30" s="27">
        <v>-2181</v>
      </c>
      <c r="G30" s="27">
        <v>-4377</v>
      </c>
      <c r="H30" s="26" t="s">
        <v>39</v>
      </c>
      <c r="I30" s="26" t="s">
        <v>39</v>
      </c>
      <c r="J30" s="26" t="s">
        <v>39</v>
      </c>
      <c r="K30" s="30">
        <v>-4377</v>
      </c>
    </row>
    <row r="31" spans="1:11" ht="22.5" x14ac:dyDescent="0.6">
      <c r="A31" s="28" t="s">
        <v>131</v>
      </c>
      <c r="B31" s="27">
        <v>-1648</v>
      </c>
      <c r="C31" s="26" t="s">
        <v>39</v>
      </c>
      <c r="D31" s="26" t="s">
        <v>39</v>
      </c>
      <c r="E31" s="26" t="s">
        <v>39</v>
      </c>
      <c r="F31" s="27">
        <v>-1648</v>
      </c>
      <c r="G31" s="27">
        <v>-1538</v>
      </c>
      <c r="H31" s="26" t="s">
        <v>39</v>
      </c>
      <c r="I31" s="26" t="s">
        <v>39</v>
      </c>
      <c r="J31" s="26" t="s">
        <v>39</v>
      </c>
      <c r="K31" s="30">
        <v>-1538</v>
      </c>
    </row>
    <row r="32" spans="1:11" x14ac:dyDescent="0.6">
      <c r="A32" s="28" t="s">
        <v>132</v>
      </c>
      <c r="B32" s="27">
        <v>1277</v>
      </c>
      <c r="C32" s="26" t="s">
        <v>39</v>
      </c>
      <c r="D32" s="26" t="s">
        <v>39</v>
      </c>
      <c r="E32" s="26" t="s">
        <v>39</v>
      </c>
      <c r="F32" s="27">
        <v>1277</v>
      </c>
      <c r="G32" s="27">
        <v>-4365</v>
      </c>
      <c r="H32" s="26" t="s">
        <v>39</v>
      </c>
      <c r="I32" s="26" t="s">
        <v>39</v>
      </c>
      <c r="J32" s="26" t="s">
        <v>39</v>
      </c>
      <c r="K32" s="30">
        <v>-4365</v>
      </c>
    </row>
    <row r="33" spans="1:11" ht="22.5" x14ac:dyDescent="0.6">
      <c r="A33" s="28" t="s">
        <v>133</v>
      </c>
      <c r="B33" s="27">
        <v>-48391</v>
      </c>
      <c r="C33" s="26" t="s">
        <v>39</v>
      </c>
      <c r="D33" s="26" t="s">
        <v>39</v>
      </c>
      <c r="E33" s="26" t="s">
        <v>39</v>
      </c>
      <c r="F33" s="27">
        <v>-48391</v>
      </c>
      <c r="G33" s="27">
        <v>-94911</v>
      </c>
      <c r="H33" s="26" t="s">
        <v>39</v>
      </c>
      <c r="I33" s="26" t="s">
        <v>39</v>
      </c>
      <c r="J33" s="26" t="s">
        <v>39</v>
      </c>
      <c r="K33" s="30">
        <v>-94911</v>
      </c>
    </row>
    <row r="34" spans="1:11" ht="22.5" x14ac:dyDescent="0.6">
      <c r="A34" s="28" t="s">
        <v>134</v>
      </c>
      <c r="B34" s="26">
        <v>-236</v>
      </c>
      <c r="C34" s="27">
        <v>-149075</v>
      </c>
      <c r="D34" s="27">
        <v>-2443</v>
      </c>
      <c r="E34" s="27">
        <v>-10189</v>
      </c>
      <c r="F34" s="27">
        <v>-161943</v>
      </c>
      <c r="G34" s="26">
        <v>-634</v>
      </c>
      <c r="H34" s="27">
        <v>-289202</v>
      </c>
      <c r="I34" s="27">
        <v>-3868</v>
      </c>
      <c r="J34" s="27">
        <v>-21111</v>
      </c>
      <c r="K34" s="30">
        <v>-314815</v>
      </c>
    </row>
    <row r="35" spans="1:11" x14ac:dyDescent="0.6">
      <c r="A35" s="28" t="s">
        <v>44</v>
      </c>
      <c r="B35" s="27">
        <v>-48627</v>
      </c>
      <c r="C35" s="27">
        <v>-149075</v>
      </c>
      <c r="D35" s="27">
        <v>-2443</v>
      </c>
      <c r="E35" s="27">
        <v>-10189</v>
      </c>
      <c r="F35" s="27">
        <v>-210334</v>
      </c>
      <c r="G35" s="27">
        <v>-95545</v>
      </c>
      <c r="H35" s="27">
        <v>-289202</v>
      </c>
      <c r="I35" s="27">
        <v>-3868</v>
      </c>
      <c r="J35" s="27">
        <v>-21111</v>
      </c>
      <c r="K35" s="30">
        <v>-409726</v>
      </c>
    </row>
    <row r="36" spans="1:11" x14ac:dyDescent="0.6">
      <c r="A36" s="32" t="s">
        <v>135</v>
      </c>
      <c r="B36" s="33">
        <v>228548</v>
      </c>
      <c r="C36" s="33">
        <v>7072</v>
      </c>
      <c r="D36" s="33">
        <v>4805</v>
      </c>
      <c r="E36" s="33">
        <v>-2494</v>
      </c>
      <c r="F36" s="33">
        <v>237931</v>
      </c>
      <c r="G36" s="33">
        <v>486097</v>
      </c>
      <c r="H36" s="33">
        <v>10351</v>
      </c>
      <c r="I36" s="33">
        <v>8562</v>
      </c>
      <c r="J36" s="33">
        <v>-4013</v>
      </c>
      <c r="K36" s="34">
        <v>500997</v>
      </c>
    </row>
    <row r="37" spans="1:11" x14ac:dyDescent="0.6">
      <c r="A37" s="12"/>
    </row>
  </sheetData>
  <mergeCells count="9">
    <mergeCell ref="A4:A6"/>
    <mergeCell ref="B4:F4"/>
    <mergeCell ref="G4:K4"/>
    <mergeCell ref="B5:D5"/>
    <mergeCell ref="E5:E6"/>
    <mergeCell ref="F5:F6"/>
    <mergeCell ref="G5:I5"/>
    <mergeCell ref="J5:J6"/>
    <mergeCell ref="K5:K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포괄손익계산서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2026-06-04T14:04:57Z</dcterms:modified>
</cp:coreProperties>
</file>