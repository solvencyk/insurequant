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D0373BB4-6B74-473B-9DB1-1F6E5A74AFB5}" xr6:coauthVersionLast="47" xr6:coauthVersionMax="47" xr10:uidLastSave="{00000000-0000-0000-0000-000000000000}"/>
  <bookViews>
    <workbookView xWindow="-83" yWindow="0" windowWidth="10965" windowHeight="13223" xr2:uid="{3CD259B9-5A78-42E0-B669-107C3DC53255}"/>
  </bookViews>
  <sheets>
    <sheet name="Sheet2" sheetId="2" r:id="rId1"/>
    <sheet name="부문별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2" l="1"/>
  <c r="I4" i="2"/>
  <c r="H4" i="2"/>
  <c r="J7" i="2" l="1"/>
  <c r="J6" i="2"/>
  <c r="J5" i="2"/>
  <c r="J3" i="2"/>
  <c r="J2" i="2"/>
  <c r="I2" i="2"/>
  <c r="I3" i="2"/>
  <c r="I5" i="2"/>
  <c r="I6" i="2"/>
  <c r="I7" i="2"/>
  <c r="H7" i="2"/>
  <c r="H6" i="2"/>
  <c r="H3" i="2"/>
  <c r="H2" i="2"/>
  <c r="H5" i="2"/>
</calcChain>
</file>

<file path=xl/sharedStrings.xml><?xml version="1.0" encoding="utf-8"?>
<sst xmlns="http://schemas.openxmlformats.org/spreadsheetml/2006/main" count="315" uniqueCount="63">
  <si>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</si>
  <si>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</si>
  <si>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</si>
  <si>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</si>
  <si>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</si>
  <si>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</si>
  <si>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</si>
  <si>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</si>
  <si>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</si>
  <si>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</si>
  <si>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</si>
  <si>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</si>
  <si>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</si>
  <si>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가정 및 경험 조정 등</t>
    <phoneticPr fontId="2" type="noConversion"/>
  </si>
  <si>
    <t>KR0069</t>
    <phoneticPr fontId="2" type="noConversion"/>
  </si>
  <si>
    <t>삼성생명</t>
    <phoneticPr fontId="2" type="noConversion"/>
  </si>
  <si>
    <t>생명보험</t>
    <phoneticPr fontId="2" type="noConversion"/>
  </si>
  <si>
    <t>보험계약 순부채(자산)(기초)</t>
  </si>
  <si>
    <t>당기손익과 기타포괄손익의 변동</t>
  </si>
  <si>
    <t>현행서비스 관련 변동</t>
  </si>
  <si>
    <t>미래서비스 관련 변동</t>
  </si>
  <si>
    <t>보험계약의 순 금융손익</t>
  </si>
  <si>
    <t>보험계약 순부채(자산)(기말)</t>
  </si>
  <si>
    <t>사망보험</t>
    <phoneticPr fontId="2" type="noConversion"/>
  </si>
  <si>
    <t>건강보험</t>
    <phoneticPr fontId="2" type="noConversion"/>
  </si>
  <si>
    <t>연금저축보험</t>
    <phoneticPr fontId="2" type="noConversion"/>
  </si>
  <si>
    <t>1) 당기</t>
  </si>
  <si>
    <t>① 사망보험</t>
  </si>
  <si>
    <t>(단위: 백만원)</t>
  </si>
  <si>
    <t>구   분</t>
  </si>
  <si>
    <t>미래현금흐름의</t>
  </si>
  <si>
    <t>현재가치 추정치</t>
  </si>
  <si>
    <t>비금융위험에 대한</t>
  </si>
  <si>
    <t>위험조정</t>
  </si>
  <si>
    <t>합   계</t>
  </si>
  <si>
    <t> 수정소급법 하 계약</t>
  </si>
  <si>
    <t> 공정가치법 하 계약</t>
  </si>
  <si>
    <t>완전소급법 및</t>
  </si>
  <si>
    <t>전환이후 계약</t>
  </si>
  <si>
    <t> 보험계약자산(기초)</t>
  </si>
  <si>
    <t>-</t>
  </si>
  <si>
    <t> 보험계약부채(기초)</t>
  </si>
  <si>
    <t>  제공한 서비스에 대해 인식한 보험계약마진</t>
  </si>
  <si>
    <t>  위험해제로 인한 비금융위험에 대한 위험조정의 변동</t>
  </si>
  <si>
    <t>  경험조정</t>
  </si>
  <si>
    <t>  당기 최초 인식 계약</t>
  </si>
  <si>
    <t>  보험계약마진 추정의 변경</t>
  </si>
  <si>
    <t>  손실부담계약의 손실(손실환입) 추정의 변경</t>
  </si>
  <si>
    <t>과거서비스 관련 변동</t>
  </si>
  <si>
    <t>  발생사고부채의 조정</t>
  </si>
  <si>
    <t>보험서비스 결과</t>
  </si>
  <si>
    <t>환율변동효과 등</t>
  </si>
  <si>
    <t>당기손익 및 기타포괄손익의 총 변동</t>
  </si>
  <si>
    <t>현금흐름</t>
  </si>
  <si>
    <t>  수취한 보험료</t>
  </si>
  <si>
    <t>  투자요소를 포함한 보험금 및 기타 보험서비스비용</t>
  </si>
  <si>
    <t>  보험취득현금흐름</t>
  </si>
  <si>
    <t>총 현금흐름</t>
  </si>
  <si>
    <t> 보험계약자산(기말)</t>
  </si>
  <si>
    <t> 보험계약부채(기말)</t>
  </si>
  <si>
    <t>② 건강보험</t>
  </si>
  <si>
    <t>③ 연금과 저축보험</t>
  </si>
  <si>
    <t>2024.4Q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</si>
</sst>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3" fontId="1" fillId="0" borderId="8" xfId="0" applyNumberFormat="1" applyFont="1" applyBorder="1" applyAlignment="1">
      <alignment horizontal="righ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1" fillId="0" borderId="1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N39"/>
  <sheetViews>
    <sheetView tabSelected="1" workbookViewId="0"/>
  </sheetViews>
  <sheetFormatPr defaultRowHeight="16.899999999999999" x14ac:dyDescent="0.6"/>
  <cols>
    <col min="8" max="8" width="15.1875" bestFit="1" customWidth="1"/>
    <col min="10" max="10" width="9.75" bestFit="1" customWidth="1"/>
  </cols>
  <sheetData>
    <row r="1" spans="1:14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24</v>
      </c>
      <c r="J1" s="2" t="s">
        <v>25</v>
      </c>
    </row>
    <row r="2" spans="1:14" x14ac:dyDescent="0.6">
      <c r="A2" s="2" t="s">
        <v>14</v>
      </c>
      <c r="B2" s="2" t="s">
        <v>15</v>
      </c>
      <c r="C2" s="2"/>
      <c r="D2" s="2" t="s">
        <v>16</v>
      </c>
      <c r="E2" s="2">
        <v>1</v>
      </c>
      <c r="F2" s="2" t="s">
        <v>7</v>
      </c>
      <c r="G2" s="2" t="s">
        <v>62</v>
      </c>
      <c r="H2" s="1">
        <f>SUM(부문별!D10:F10)</f>
        <v>4812932</v>
      </c>
      <c r="I2" s="1">
        <f>SUM(부문별!D42:F42)</f>
        <v>5583557</v>
      </c>
      <c r="J2" s="1">
        <f>SUM(부문별!D73:F73)</f>
        <v>1850883</v>
      </c>
      <c r="N2" s="1"/>
    </row>
    <row r="3" spans="1:14" x14ac:dyDescent="0.6">
      <c r="A3" s="2" t="s">
        <v>14</v>
      </c>
      <c r="B3" s="2" t="s">
        <v>15</v>
      </c>
      <c r="C3" s="2"/>
      <c r="D3" s="2" t="s">
        <v>16</v>
      </c>
      <c r="E3" s="2">
        <v>2</v>
      </c>
      <c r="F3" s="2" t="s">
        <v>8</v>
      </c>
      <c r="G3" s="2" t="s">
        <v>62</v>
      </c>
      <c r="H3" s="1">
        <f>SUM(부문별!D17:F17)</f>
        <v>1186529</v>
      </c>
      <c r="I3" s="1">
        <f>SUM(부문별!D49:F49)</f>
        <v>1885155</v>
      </c>
      <c r="J3" s="1">
        <f>SUM(부문별!D80:F80)</f>
        <v>188920</v>
      </c>
    </row>
    <row r="4" spans="1:14" x14ac:dyDescent="0.6">
      <c r="A4" s="2" t="s">
        <v>14</v>
      </c>
      <c r="B4" s="2" t="s">
        <v>15</v>
      </c>
      <c r="C4" s="2"/>
      <c r="D4" s="2" t="s">
        <v>16</v>
      </c>
      <c r="E4">
        <v>3</v>
      </c>
      <c r="F4" s="2" t="s">
        <v>9</v>
      </c>
      <c r="G4" t="s">
        <v>62</v>
      </c>
      <c r="H4" s="1">
        <f>SUM(부문별!D23:F24)</f>
        <v>197500</v>
      </c>
      <c r="I4" s="1">
        <f>SUM(부문별!D55:F56)</f>
        <v>216082</v>
      </c>
      <c r="J4" s="1">
        <f>SUM(부문별!D86:F87)</f>
        <v>54765</v>
      </c>
    </row>
    <row r="5" spans="1:14" x14ac:dyDescent="0.6">
      <c r="A5" s="2" t="s">
        <v>14</v>
      </c>
      <c r="B5" s="2" t="s">
        <v>15</v>
      </c>
      <c r="C5" s="2"/>
      <c r="D5" s="2" t="s">
        <v>16</v>
      </c>
      <c r="E5" s="2">
        <v>4</v>
      </c>
      <c r="F5" s="2" t="s">
        <v>13</v>
      </c>
      <c r="G5" t="s">
        <v>62</v>
      </c>
      <c r="H5" s="1">
        <f t="shared" ref="H5" si="0">H7-H6-H4-H3-H2</f>
        <v>-887314</v>
      </c>
      <c r="I5" s="1">
        <f>I7-I6-I4-I3-I2</f>
        <v>103687</v>
      </c>
      <c r="J5" s="1">
        <f>J7-J6-J4-J3-J2</f>
        <v>-921132</v>
      </c>
    </row>
    <row r="6" spans="1:14" x14ac:dyDescent="0.6">
      <c r="A6" s="2" t="s">
        <v>14</v>
      </c>
      <c r="B6" s="2" t="s">
        <v>15</v>
      </c>
      <c r="C6" s="2"/>
      <c r="D6" s="2" t="s">
        <v>16</v>
      </c>
      <c r="E6" s="2">
        <v>5</v>
      </c>
      <c r="F6" s="2" t="s">
        <v>10</v>
      </c>
      <c r="G6" t="s">
        <v>62</v>
      </c>
      <c r="H6" s="1">
        <f>SUM(부문별!D13:F13)</f>
        <v>-549138</v>
      </c>
      <c r="I6" s="1">
        <f>SUM(부문별!D45:F45)</f>
        <v>-691566</v>
      </c>
      <c r="J6" s="1">
        <f>SUM(부문별!D76:F76)</f>
        <v>-128837</v>
      </c>
    </row>
    <row r="7" spans="1:14" x14ac:dyDescent="0.6">
      <c r="A7" s="2" t="s">
        <v>14</v>
      </c>
      <c r="B7" s="2" t="s">
        <v>15</v>
      </c>
      <c r="C7" s="2"/>
      <c r="D7" s="2" t="s">
        <v>16</v>
      </c>
      <c r="E7" s="2">
        <v>6</v>
      </c>
      <c r="F7" s="2" t="s">
        <v>11</v>
      </c>
      <c r="G7" t="s">
        <v>62</v>
      </c>
      <c r="H7" s="1">
        <f>SUM(부문별!D31:F31)</f>
        <v>4760509</v>
      </c>
      <c r="I7" s="1">
        <f>SUM(부문별!D63:F63)</f>
        <v>7096915</v>
      </c>
      <c r="J7" s="1">
        <f>SUM(부문별!D94:F94)</f>
        <v>1044599</v>
      </c>
    </row>
    <row r="8" spans="1:14" x14ac:dyDescent="0.6">
      <c r="A8" s="2"/>
      <c r="B8" s="2"/>
      <c r="C8" s="2"/>
      <c r="D8" s="2"/>
      <c r="H8" s="1"/>
    </row>
    <row r="9" spans="1:14" x14ac:dyDescent="0.6">
      <c r="A9" s="2"/>
      <c r="B9" s="2"/>
      <c r="C9" s="2"/>
      <c r="D9" s="2"/>
    </row>
    <row r="10" spans="1:14" x14ac:dyDescent="0.6">
      <c r="A10" s="2"/>
      <c r="B10" s="2"/>
      <c r="C10" s="2"/>
      <c r="D10" s="2"/>
      <c r="H10" s="1"/>
    </row>
    <row r="11" spans="1:14" x14ac:dyDescent="0.6">
      <c r="A11" s="2"/>
      <c r="B11" s="2"/>
      <c r="C11" s="2"/>
      <c r="D11" s="2"/>
      <c r="H11" s="1"/>
      <c r="I11" s="1"/>
      <c r="J11" s="1"/>
    </row>
    <row r="12" spans="1:14" x14ac:dyDescent="0.6">
      <c r="A12" s="2"/>
      <c r="B12" s="2"/>
      <c r="C12" s="2"/>
      <c r="D12" s="2"/>
    </row>
    <row r="13" spans="1:14" x14ac:dyDescent="0.6">
      <c r="A13" s="2"/>
      <c r="B13" s="2"/>
      <c r="C13" s="2"/>
      <c r="D13" s="2"/>
      <c r="H13" s="1"/>
    </row>
    <row r="14" spans="1:14" x14ac:dyDescent="0.6">
      <c r="A14" s="2"/>
      <c r="B14" s="2"/>
      <c r="C14" s="2"/>
      <c r="D14" s="2"/>
      <c r="H14" s="1"/>
    </row>
    <row r="15" spans="1:14" x14ac:dyDescent="0.6">
      <c r="A15" s="2"/>
      <c r="B15" s="2"/>
      <c r="C15" s="2"/>
      <c r="D15" s="2"/>
      <c r="H15" s="1"/>
    </row>
    <row r="16" spans="1:14" x14ac:dyDescent="0.6">
      <c r="A16" s="2"/>
      <c r="B16" s="2"/>
      <c r="C16" s="2"/>
      <c r="D16" s="2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  <row r="25" spans="1:8" x14ac:dyDescent="0.6">
      <c r="H25" s="1"/>
    </row>
    <row r="32" spans="1:8" x14ac:dyDescent="0.6">
      <c r="H32" s="1"/>
    </row>
    <row r="33" spans="8:9" x14ac:dyDescent="0.6">
      <c r="H33" s="1"/>
    </row>
    <row r="39" spans="8:9" x14ac:dyDescent="0.6">
      <c r="I39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G96"/>
  <sheetViews>
    <sheetView topLeftCell="A8" zoomScale="40" zoomScaleNormal="40" workbookViewId="0">
      <selection activeCell="E23" sqref="E23:F24"/>
    </sheetView>
  </sheetViews>
  <sheetFormatPr defaultRowHeight="16.899999999999999" x14ac:dyDescent="0.6"/>
  <cols>
    <col min="1" max="1" width="9.6875" bestFit="1" customWidth="1"/>
    <col min="2" max="2" width="9.0625" bestFit="1" customWidth="1"/>
    <col min="3" max="3" width="29.375" bestFit="1" customWidth="1"/>
    <col min="4" max="4" width="24.9375" bestFit="1" customWidth="1"/>
    <col min="5" max="7" width="13.8125" bestFit="1" customWidth="1"/>
    <col min="8" max="8" width="24" bestFit="1" customWidth="1"/>
    <col min="9" max="9" width="29.375" bestFit="1" customWidth="1"/>
    <col min="10" max="10" width="24.9375" bestFit="1" customWidth="1"/>
    <col min="11" max="11" width="11" bestFit="1" customWidth="1"/>
    <col min="12" max="13" width="9.8125" bestFit="1" customWidth="1"/>
    <col min="14" max="14" width="24" bestFit="1" customWidth="1"/>
  </cols>
  <sheetData>
    <row r="1" spans="1:7" x14ac:dyDescent="0.6">
      <c r="A1" s="14" t="s">
        <v>26</v>
      </c>
    </row>
    <row r="2" spans="1:7" x14ac:dyDescent="0.6">
      <c r="A2" s="13"/>
    </row>
    <row r="3" spans="1:7" x14ac:dyDescent="0.6">
      <c r="A3" s="14" t="s">
        <v>27</v>
      </c>
    </row>
    <row r="4" spans="1:7" ht="27" x14ac:dyDescent="0.6">
      <c r="A4" s="7" t="s">
        <v>28</v>
      </c>
    </row>
    <row r="5" spans="1:7" ht="27" x14ac:dyDescent="0.6">
      <c r="A5" s="21" t="s">
        <v>29</v>
      </c>
      <c r="B5" s="15" t="s">
        <v>30</v>
      </c>
      <c r="C5" s="15" t="s">
        <v>32</v>
      </c>
      <c r="D5" s="24" t="s">
        <v>12</v>
      </c>
      <c r="E5" s="25"/>
      <c r="F5" s="26"/>
      <c r="G5" s="27" t="s">
        <v>34</v>
      </c>
    </row>
    <row r="6" spans="1:7" ht="27" x14ac:dyDescent="0.6">
      <c r="A6" s="22"/>
      <c r="B6" s="11" t="s">
        <v>31</v>
      </c>
      <c r="C6" s="11" t="s">
        <v>33</v>
      </c>
      <c r="D6" s="30" t="s">
        <v>35</v>
      </c>
      <c r="E6" s="30" t="s">
        <v>36</v>
      </c>
      <c r="F6" s="10" t="s">
        <v>37</v>
      </c>
      <c r="G6" s="28"/>
    </row>
    <row r="7" spans="1:7" x14ac:dyDescent="0.6">
      <c r="A7" s="23"/>
      <c r="B7" s="12"/>
      <c r="C7" s="12"/>
      <c r="D7" s="31"/>
      <c r="E7" s="31"/>
      <c r="F7" s="12" t="s">
        <v>38</v>
      </c>
      <c r="G7" s="29"/>
    </row>
    <row r="8" spans="1:7" ht="27" x14ac:dyDescent="0.6">
      <c r="A8" s="16" t="s">
        <v>39</v>
      </c>
      <c r="B8" s="3" t="s">
        <v>40</v>
      </c>
      <c r="C8" s="3" t="s">
        <v>40</v>
      </c>
      <c r="D8" s="3" t="s">
        <v>40</v>
      </c>
      <c r="E8" s="3" t="s">
        <v>40</v>
      </c>
      <c r="F8" s="3" t="s">
        <v>40</v>
      </c>
      <c r="G8" s="5" t="s">
        <v>40</v>
      </c>
    </row>
    <row r="9" spans="1:7" ht="27" x14ac:dyDescent="0.6">
      <c r="A9" s="16" t="s">
        <v>41</v>
      </c>
      <c r="B9" s="4">
        <v>28161415</v>
      </c>
      <c r="C9" s="4">
        <v>1041831</v>
      </c>
      <c r="D9" s="4">
        <v>737957</v>
      </c>
      <c r="E9" s="4">
        <v>1565622</v>
      </c>
      <c r="F9" s="4">
        <v>2509353</v>
      </c>
      <c r="G9" s="6">
        <v>34016178</v>
      </c>
    </row>
    <row r="10" spans="1:7" ht="40.5" x14ac:dyDescent="0.6">
      <c r="A10" s="16" t="s">
        <v>17</v>
      </c>
      <c r="B10" s="4">
        <v>28161415</v>
      </c>
      <c r="C10" s="4">
        <v>1041831</v>
      </c>
      <c r="D10" s="4">
        <v>737957</v>
      </c>
      <c r="E10" s="4">
        <v>1565622</v>
      </c>
      <c r="F10" s="4">
        <v>2509353</v>
      </c>
      <c r="G10" s="6">
        <v>34016178</v>
      </c>
    </row>
    <row r="11" spans="1:7" x14ac:dyDescent="0.6">
      <c r="A11" s="18" t="s">
        <v>18</v>
      </c>
      <c r="B11" s="19"/>
      <c r="C11" s="19"/>
      <c r="D11" s="19"/>
      <c r="E11" s="19"/>
      <c r="F11" s="19"/>
      <c r="G11" s="20"/>
    </row>
    <row r="12" spans="1:7" x14ac:dyDescent="0.6">
      <c r="A12" s="18" t="s">
        <v>19</v>
      </c>
      <c r="B12" s="19"/>
      <c r="C12" s="19"/>
      <c r="D12" s="19"/>
      <c r="E12" s="19"/>
      <c r="F12" s="19"/>
      <c r="G12" s="20"/>
    </row>
    <row r="13" spans="1:7" ht="67.5" x14ac:dyDescent="0.6">
      <c r="A13" s="16" t="s">
        <v>42</v>
      </c>
      <c r="B13" s="3" t="s">
        <v>40</v>
      </c>
      <c r="C13" s="3" t="s">
        <v>40</v>
      </c>
      <c r="D13" s="4">
        <v>-66057</v>
      </c>
      <c r="E13" s="4">
        <v>-123915</v>
      </c>
      <c r="F13" s="4">
        <v>-359166</v>
      </c>
      <c r="G13" s="6">
        <v>-549138</v>
      </c>
    </row>
    <row r="14" spans="1:7" ht="81" x14ac:dyDescent="0.6">
      <c r="A14" s="16" t="s">
        <v>43</v>
      </c>
      <c r="B14" s="3" t="s">
        <v>40</v>
      </c>
      <c r="C14" s="4">
        <v>-115544</v>
      </c>
      <c r="D14" s="3" t="s">
        <v>40</v>
      </c>
      <c r="E14" s="3" t="s">
        <v>40</v>
      </c>
      <c r="F14" s="3" t="s">
        <v>40</v>
      </c>
      <c r="G14" s="6">
        <v>-115544</v>
      </c>
    </row>
    <row r="15" spans="1:7" x14ac:dyDescent="0.6">
      <c r="A15" s="16" t="s">
        <v>44</v>
      </c>
      <c r="B15" s="4">
        <v>3387</v>
      </c>
      <c r="C15" s="3" t="s">
        <v>40</v>
      </c>
      <c r="D15" s="3" t="s">
        <v>40</v>
      </c>
      <c r="E15" s="3" t="s">
        <v>40</v>
      </c>
      <c r="F15" s="3" t="s">
        <v>40</v>
      </c>
      <c r="G15" s="6">
        <v>3387</v>
      </c>
    </row>
    <row r="16" spans="1:7" x14ac:dyDescent="0.6">
      <c r="A16" s="18" t="s">
        <v>20</v>
      </c>
      <c r="B16" s="19"/>
      <c r="C16" s="19"/>
      <c r="D16" s="19"/>
      <c r="E16" s="19"/>
      <c r="F16" s="19"/>
      <c r="G16" s="20"/>
    </row>
    <row r="17" spans="1:7" ht="40.5" x14ac:dyDescent="0.6">
      <c r="A17" s="16" t="s">
        <v>45</v>
      </c>
      <c r="B17" s="4">
        <v>-1294387</v>
      </c>
      <c r="C17" s="4">
        <v>113567</v>
      </c>
      <c r="D17" s="3" t="s">
        <v>40</v>
      </c>
      <c r="E17" s="3" t="s">
        <v>40</v>
      </c>
      <c r="F17" s="4">
        <v>1186529</v>
      </c>
      <c r="G17" s="6">
        <v>5709</v>
      </c>
    </row>
    <row r="18" spans="1:7" ht="40.5" x14ac:dyDescent="0.6">
      <c r="A18" s="16" t="s">
        <v>46</v>
      </c>
      <c r="B18" s="4">
        <v>902885</v>
      </c>
      <c r="C18" s="4">
        <v>-15571</v>
      </c>
      <c r="D18" s="4">
        <v>-283600</v>
      </c>
      <c r="E18" s="4">
        <v>4593</v>
      </c>
      <c r="F18" s="4">
        <v>-608307</v>
      </c>
      <c r="G18" s="5" t="s">
        <v>40</v>
      </c>
    </row>
    <row r="19" spans="1:7" ht="67.5" x14ac:dyDescent="0.6">
      <c r="A19" s="16" t="s">
        <v>47</v>
      </c>
      <c r="B19" s="4">
        <v>68493</v>
      </c>
      <c r="C19" s="3" t="s">
        <v>40</v>
      </c>
      <c r="D19" s="3" t="s">
        <v>40</v>
      </c>
      <c r="E19" s="3" t="s">
        <v>40</v>
      </c>
      <c r="F19" s="3" t="s">
        <v>40</v>
      </c>
      <c r="G19" s="6">
        <v>68493</v>
      </c>
    </row>
    <row r="20" spans="1:7" x14ac:dyDescent="0.6">
      <c r="A20" s="18" t="s">
        <v>48</v>
      </c>
      <c r="B20" s="19"/>
      <c r="C20" s="19"/>
      <c r="D20" s="19"/>
      <c r="E20" s="19"/>
      <c r="F20" s="19"/>
      <c r="G20" s="20"/>
    </row>
    <row r="21" spans="1:7" ht="40.5" x14ac:dyDescent="0.6">
      <c r="A21" s="16" t="s">
        <v>49</v>
      </c>
      <c r="B21" s="4">
        <v>44172</v>
      </c>
      <c r="C21" s="4">
        <v>-2887</v>
      </c>
      <c r="D21" s="3" t="s">
        <v>40</v>
      </c>
      <c r="E21" s="3" t="s">
        <v>40</v>
      </c>
      <c r="F21" s="3" t="s">
        <v>40</v>
      </c>
      <c r="G21" s="6">
        <v>41285</v>
      </c>
    </row>
    <row r="22" spans="1:7" ht="27" x14ac:dyDescent="0.6">
      <c r="A22" s="16" t="s">
        <v>50</v>
      </c>
      <c r="B22" s="4">
        <v>-275450</v>
      </c>
      <c r="C22" s="4">
        <v>-20435</v>
      </c>
      <c r="D22" s="4">
        <v>-349657</v>
      </c>
      <c r="E22" s="4">
        <v>-119322</v>
      </c>
      <c r="F22" s="4">
        <v>219056</v>
      </c>
      <c r="G22" s="6">
        <v>-545808</v>
      </c>
    </row>
    <row r="23" spans="1:7" ht="40.5" x14ac:dyDescent="0.6">
      <c r="A23" s="16" t="s">
        <v>21</v>
      </c>
      <c r="B23" s="4">
        <v>4258672</v>
      </c>
      <c r="C23" s="4">
        <v>-31179</v>
      </c>
      <c r="D23" s="4">
        <v>22755</v>
      </c>
      <c r="E23" s="4">
        <v>34505</v>
      </c>
      <c r="F23" s="4">
        <v>133237</v>
      </c>
      <c r="G23" s="6">
        <v>4417990</v>
      </c>
    </row>
    <row r="24" spans="1:7" ht="27" x14ac:dyDescent="0.6">
      <c r="A24" s="16" t="s">
        <v>51</v>
      </c>
      <c r="B24" s="4">
        <v>5649</v>
      </c>
      <c r="C24" s="3">
        <v>436</v>
      </c>
      <c r="D24" s="4">
        <v>5872</v>
      </c>
      <c r="E24" s="3" t="s">
        <v>40</v>
      </c>
      <c r="F24" s="4">
        <v>1131</v>
      </c>
      <c r="G24" s="6">
        <v>13088</v>
      </c>
    </row>
    <row r="25" spans="1:7" ht="54" x14ac:dyDescent="0.6">
      <c r="A25" s="16" t="s">
        <v>52</v>
      </c>
      <c r="B25" s="4">
        <v>3988871</v>
      </c>
      <c r="C25" s="4">
        <v>-51178</v>
      </c>
      <c r="D25" s="4">
        <v>-321030</v>
      </c>
      <c r="E25" s="4">
        <v>-84817</v>
      </c>
      <c r="F25" s="4">
        <v>353424</v>
      </c>
      <c r="G25" s="6">
        <v>3885270</v>
      </c>
    </row>
    <row r="26" spans="1:7" x14ac:dyDescent="0.6">
      <c r="A26" s="18" t="s">
        <v>53</v>
      </c>
      <c r="B26" s="19"/>
      <c r="C26" s="19"/>
      <c r="D26" s="19"/>
      <c r="E26" s="19"/>
      <c r="F26" s="19"/>
      <c r="G26" s="20"/>
    </row>
    <row r="27" spans="1:7" ht="27" x14ac:dyDescent="0.6">
      <c r="A27" s="16" t="s">
        <v>54</v>
      </c>
      <c r="B27" s="4">
        <v>8343662</v>
      </c>
      <c r="C27" s="3" t="s">
        <v>40</v>
      </c>
      <c r="D27" s="3" t="s">
        <v>40</v>
      </c>
      <c r="E27" s="3" t="s">
        <v>40</v>
      </c>
      <c r="F27" s="3" t="s">
        <v>40</v>
      </c>
      <c r="G27" s="6">
        <v>8343662</v>
      </c>
    </row>
    <row r="28" spans="1:7" ht="81" x14ac:dyDescent="0.6">
      <c r="A28" s="16" t="s">
        <v>55</v>
      </c>
      <c r="B28" s="4">
        <v>-4792018</v>
      </c>
      <c r="C28" s="3" t="s">
        <v>40</v>
      </c>
      <c r="D28" s="3" t="s">
        <v>40</v>
      </c>
      <c r="E28" s="3" t="s">
        <v>40</v>
      </c>
      <c r="F28" s="3" t="s">
        <v>40</v>
      </c>
      <c r="G28" s="6">
        <v>-4792018</v>
      </c>
    </row>
    <row r="29" spans="1:7" ht="27" x14ac:dyDescent="0.6">
      <c r="A29" s="16" t="s">
        <v>56</v>
      </c>
      <c r="B29" s="4">
        <v>-1366084</v>
      </c>
      <c r="C29" s="3" t="s">
        <v>40</v>
      </c>
      <c r="D29" s="3" t="s">
        <v>40</v>
      </c>
      <c r="E29" s="3" t="s">
        <v>40</v>
      </c>
      <c r="F29" s="3" t="s">
        <v>40</v>
      </c>
      <c r="G29" s="6">
        <v>-1366084</v>
      </c>
    </row>
    <row r="30" spans="1:7" ht="27" x14ac:dyDescent="0.6">
      <c r="A30" s="16" t="s">
        <v>57</v>
      </c>
      <c r="B30" s="4">
        <v>2185560</v>
      </c>
      <c r="C30" s="3" t="s">
        <v>40</v>
      </c>
      <c r="D30" s="3" t="s">
        <v>40</v>
      </c>
      <c r="E30" s="3" t="s">
        <v>40</v>
      </c>
      <c r="F30" s="3" t="s">
        <v>40</v>
      </c>
      <c r="G30" s="6">
        <v>2185560</v>
      </c>
    </row>
    <row r="31" spans="1:7" ht="40.5" x14ac:dyDescent="0.6">
      <c r="A31" s="16" t="s">
        <v>22</v>
      </c>
      <c r="B31" s="4">
        <v>34335846</v>
      </c>
      <c r="C31" s="4">
        <v>990653</v>
      </c>
      <c r="D31" s="4">
        <v>416927</v>
      </c>
      <c r="E31" s="4">
        <v>1480805</v>
      </c>
      <c r="F31" s="4">
        <v>2862777</v>
      </c>
      <c r="G31" s="6">
        <v>40087008</v>
      </c>
    </row>
    <row r="32" spans="1:7" ht="27" x14ac:dyDescent="0.6">
      <c r="A32" s="16" t="s">
        <v>58</v>
      </c>
      <c r="B32" s="3" t="s">
        <v>40</v>
      </c>
      <c r="C32" s="3" t="s">
        <v>40</v>
      </c>
      <c r="D32" s="3" t="s">
        <v>40</v>
      </c>
      <c r="E32" s="3" t="s">
        <v>40</v>
      </c>
      <c r="F32" s="3" t="s">
        <v>40</v>
      </c>
      <c r="G32" s="5" t="s">
        <v>40</v>
      </c>
    </row>
    <row r="33" spans="1:7" ht="27" x14ac:dyDescent="0.6">
      <c r="A33" s="17" t="s">
        <v>59</v>
      </c>
      <c r="B33" s="8">
        <v>34335846</v>
      </c>
      <c r="C33" s="8">
        <v>990653</v>
      </c>
      <c r="D33" s="8">
        <v>416927</v>
      </c>
      <c r="E33" s="8">
        <v>1480805</v>
      </c>
      <c r="F33" s="8">
        <v>2862777</v>
      </c>
      <c r="G33" s="9">
        <v>40087008</v>
      </c>
    </row>
    <row r="35" spans="1:7" x14ac:dyDescent="0.6">
      <c r="A35" s="14" t="s">
        <v>60</v>
      </c>
    </row>
    <row r="36" spans="1:7" ht="27" x14ac:dyDescent="0.6">
      <c r="A36" s="7" t="s">
        <v>28</v>
      </c>
    </row>
    <row r="37" spans="1:7" ht="27" x14ac:dyDescent="0.6">
      <c r="A37" s="21" t="s">
        <v>29</v>
      </c>
      <c r="B37" s="15" t="s">
        <v>30</v>
      </c>
      <c r="C37" s="15" t="s">
        <v>32</v>
      </c>
      <c r="D37" s="24" t="s">
        <v>12</v>
      </c>
      <c r="E37" s="25"/>
      <c r="F37" s="26"/>
      <c r="G37" s="27" t="s">
        <v>34</v>
      </c>
    </row>
    <row r="38" spans="1:7" ht="27" x14ac:dyDescent="0.6">
      <c r="A38" s="22"/>
      <c r="B38" s="11" t="s">
        <v>31</v>
      </c>
      <c r="C38" s="11" t="s">
        <v>33</v>
      </c>
      <c r="D38" s="30" t="s">
        <v>35</v>
      </c>
      <c r="E38" s="30" t="s">
        <v>36</v>
      </c>
      <c r="F38" s="10" t="s">
        <v>37</v>
      </c>
      <c r="G38" s="28"/>
    </row>
    <row r="39" spans="1:7" x14ac:dyDescent="0.6">
      <c r="A39" s="23"/>
      <c r="B39" s="12"/>
      <c r="C39" s="12"/>
      <c r="D39" s="31"/>
      <c r="E39" s="31"/>
      <c r="F39" s="12" t="s">
        <v>38</v>
      </c>
      <c r="G39" s="29"/>
    </row>
    <row r="40" spans="1:7" ht="27" x14ac:dyDescent="0.6">
      <c r="A40" s="16" t="s">
        <v>39</v>
      </c>
      <c r="B40" s="3" t="s">
        <v>40</v>
      </c>
      <c r="C40" s="3" t="s">
        <v>40</v>
      </c>
      <c r="D40" s="3" t="s">
        <v>40</v>
      </c>
      <c r="E40" s="3" t="s">
        <v>40</v>
      </c>
      <c r="F40" s="3" t="s">
        <v>40</v>
      </c>
      <c r="G40" s="5" t="s">
        <v>40</v>
      </c>
    </row>
    <row r="41" spans="1:7" ht="27" x14ac:dyDescent="0.6">
      <c r="A41" s="16" t="s">
        <v>41</v>
      </c>
      <c r="B41" s="4">
        <v>30439276</v>
      </c>
      <c r="C41" s="4">
        <v>1240618</v>
      </c>
      <c r="D41" s="4">
        <v>986499</v>
      </c>
      <c r="E41" s="4">
        <v>2672258</v>
      </c>
      <c r="F41" s="4">
        <v>1924800</v>
      </c>
      <c r="G41" s="6">
        <v>37263451</v>
      </c>
    </row>
    <row r="42" spans="1:7" ht="40.5" x14ac:dyDescent="0.6">
      <c r="A42" s="16" t="s">
        <v>17</v>
      </c>
      <c r="B42" s="4">
        <v>30439276</v>
      </c>
      <c r="C42" s="4">
        <v>1240618</v>
      </c>
      <c r="D42" s="4">
        <v>986499</v>
      </c>
      <c r="E42" s="4">
        <v>2672258</v>
      </c>
      <c r="F42" s="4">
        <v>1924800</v>
      </c>
      <c r="G42" s="6">
        <v>37263451</v>
      </c>
    </row>
    <row r="43" spans="1:7" x14ac:dyDescent="0.6">
      <c r="A43" s="18" t="s">
        <v>18</v>
      </c>
      <c r="B43" s="19"/>
      <c r="C43" s="19"/>
      <c r="D43" s="19"/>
      <c r="E43" s="19"/>
      <c r="F43" s="19"/>
      <c r="G43" s="20"/>
    </row>
    <row r="44" spans="1:7" x14ac:dyDescent="0.6">
      <c r="A44" s="18" t="s">
        <v>19</v>
      </c>
      <c r="B44" s="19"/>
      <c r="C44" s="19"/>
      <c r="D44" s="19"/>
      <c r="E44" s="19"/>
      <c r="F44" s="19"/>
      <c r="G44" s="20"/>
    </row>
    <row r="45" spans="1:7" ht="67.5" x14ac:dyDescent="0.6">
      <c r="A45" s="16" t="s">
        <v>42</v>
      </c>
      <c r="B45" s="3" t="s">
        <v>40</v>
      </c>
      <c r="C45" s="3" t="s">
        <v>40</v>
      </c>
      <c r="D45" s="4">
        <v>-93057</v>
      </c>
      <c r="E45" s="4">
        <v>-233028</v>
      </c>
      <c r="F45" s="4">
        <v>-365481</v>
      </c>
      <c r="G45" s="6">
        <v>-691566</v>
      </c>
    </row>
    <row r="46" spans="1:7" ht="81" x14ac:dyDescent="0.6">
      <c r="A46" s="16" t="s">
        <v>43</v>
      </c>
      <c r="B46" s="3" t="s">
        <v>40</v>
      </c>
      <c r="C46" s="4">
        <v>-151587</v>
      </c>
      <c r="D46" s="3" t="s">
        <v>40</v>
      </c>
      <c r="E46" s="3" t="s">
        <v>40</v>
      </c>
      <c r="F46" s="3" t="s">
        <v>40</v>
      </c>
      <c r="G46" s="6">
        <v>-151587</v>
      </c>
    </row>
    <row r="47" spans="1:7" x14ac:dyDescent="0.6">
      <c r="A47" s="16" t="s">
        <v>44</v>
      </c>
      <c r="B47" s="4">
        <v>221871</v>
      </c>
      <c r="C47" s="3" t="s">
        <v>40</v>
      </c>
      <c r="D47" s="3" t="s">
        <v>40</v>
      </c>
      <c r="E47" s="3" t="s">
        <v>40</v>
      </c>
      <c r="F47" s="3" t="s">
        <v>40</v>
      </c>
      <c r="G47" s="6">
        <v>221871</v>
      </c>
    </row>
    <row r="48" spans="1:7" x14ac:dyDescent="0.6">
      <c r="A48" s="18" t="s">
        <v>20</v>
      </c>
      <c r="B48" s="19"/>
      <c r="C48" s="19"/>
      <c r="D48" s="19"/>
      <c r="E48" s="19"/>
      <c r="F48" s="19"/>
      <c r="G48" s="20"/>
    </row>
    <row r="49" spans="1:7" ht="40.5" x14ac:dyDescent="0.6">
      <c r="A49" s="16" t="s">
        <v>45</v>
      </c>
      <c r="B49" s="4">
        <v>-2022995</v>
      </c>
      <c r="C49" s="4">
        <v>158538</v>
      </c>
      <c r="D49" s="3" t="s">
        <v>40</v>
      </c>
      <c r="E49" s="3" t="s">
        <v>40</v>
      </c>
      <c r="F49" s="4">
        <v>1885155</v>
      </c>
      <c r="G49" s="6">
        <v>20698</v>
      </c>
    </row>
    <row r="50" spans="1:7" ht="40.5" x14ac:dyDescent="0.6">
      <c r="A50" s="16" t="s">
        <v>46</v>
      </c>
      <c r="B50" s="4">
        <v>-194012</v>
      </c>
      <c r="C50" s="4">
        <v>90325</v>
      </c>
      <c r="D50" s="4">
        <v>-57219</v>
      </c>
      <c r="E50" s="4">
        <v>784003</v>
      </c>
      <c r="F50" s="4">
        <v>-623097</v>
      </c>
      <c r="G50" s="5" t="s">
        <v>40</v>
      </c>
    </row>
    <row r="51" spans="1:7" ht="67.5" x14ac:dyDescent="0.6">
      <c r="A51" s="16" t="s">
        <v>47</v>
      </c>
      <c r="B51" s="4">
        <v>29676</v>
      </c>
      <c r="C51" s="3" t="s">
        <v>40</v>
      </c>
      <c r="D51" s="3" t="s">
        <v>40</v>
      </c>
      <c r="E51" s="3" t="s">
        <v>40</v>
      </c>
      <c r="F51" s="3" t="s">
        <v>40</v>
      </c>
      <c r="G51" s="6">
        <v>29676</v>
      </c>
    </row>
    <row r="52" spans="1:7" x14ac:dyDescent="0.6">
      <c r="A52" s="18" t="s">
        <v>48</v>
      </c>
      <c r="B52" s="19"/>
      <c r="C52" s="19"/>
      <c r="D52" s="19"/>
      <c r="E52" s="19"/>
      <c r="F52" s="19"/>
      <c r="G52" s="20"/>
    </row>
    <row r="53" spans="1:7" ht="40.5" x14ac:dyDescent="0.6">
      <c r="A53" s="16" t="s">
        <v>49</v>
      </c>
      <c r="B53" s="4">
        <v>116979</v>
      </c>
      <c r="C53" s="4">
        <v>-3117</v>
      </c>
      <c r="D53" s="3" t="s">
        <v>40</v>
      </c>
      <c r="E53" s="3" t="s">
        <v>40</v>
      </c>
      <c r="F53" s="3" t="s">
        <v>40</v>
      </c>
      <c r="G53" s="6">
        <v>113862</v>
      </c>
    </row>
    <row r="54" spans="1:7" ht="27" x14ac:dyDescent="0.6">
      <c r="A54" s="16" t="s">
        <v>50</v>
      </c>
      <c r="B54" s="4">
        <v>-1848481</v>
      </c>
      <c r="C54" s="4">
        <v>94159</v>
      </c>
      <c r="D54" s="4">
        <v>-150276</v>
      </c>
      <c r="E54" s="4">
        <v>550975</v>
      </c>
      <c r="F54" s="4">
        <v>896577</v>
      </c>
      <c r="G54" s="6">
        <v>-457046</v>
      </c>
    </row>
    <row r="55" spans="1:7" ht="40.5" x14ac:dyDescent="0.6">
      <c r="A55" s="16" t="s">
        <v>21</v>
      </c>
      <c r="B55" s="4">
        <v>4766585</v>
      </c>
      <c r="C55" s="4">
        <v>2497</v>
      </c>
      <c r="D55" s="4">
        <v>19650</v>
      </c>
      <c r="E55" s="4">
        <v>87857</v>
      </c>
      <c r="F55" s="4">
        <v>108575</v>
      </c>
      <c r="G55" s="6">
        <v>4985164</v>
      </c>
    </row>
    <row r="56" spans="1:7" ht="27" x14ac:dyDescent="0.6">
      <c r="A56" s="16" t="s">
        <v>51</v>
      </c>
      <c r="B56" s="3" t="s">
        <v>40</v>
      </c>
      <c r="C56" s="3" t="s">
        <v>40</v>
      </c>
      <c r="D56" s="3" t="s">
        <v>40</v>
      </c>
      <c r="E56" s="3" t="s">
        <v>40</v>
      </c>
      <c r="F56" s="3" t="s">
        <v>40</v>
      </c>
      <c r="G56" s="5" t="s">
        <v>40</v>
      </c>
    </row>
    <row r="57" spans="1:7" ht="54" x14ac:dyDescent="0.6">
      <c r="A57" s="16" t="s">
        <v>52</v>
      </c>
      <c r="B57" s="4">
        <v>2918104</v>
      </c>
      <c r="C57" s="4">
        <v>96656</v>
      </c>
      <c r="D57" s="4">
        <v>-130626</v>
      </c>
      <c r="E57" s="4">
        <v>638832</v>
      </c>
      <c r="F57" s="4">
        <v>1005152</v>
      </c>
      <c r="G57" s="6">
        <v>4528118</v>
      </c>
    </row>
    <row r="58" spans="1:7" x14ac:dyDescent="0.6">
      <c r="A58" s="18" t="s">
        <v>53</v>
      </c>
      <c r="B58" s="19"/>
      <c r="C58" s="19"/>
      <c r="D58" s="19"/>
      <c r="E58" s="19"/>
      <c r="F58" s="19"/>
      <c r="G58" s="20"/>
    </row>
    <row r="59" spans="1:7" ht="27" x14ac:dyDescent="0.6">
      <c r="A59" s="16" t="s">
        <v>54</v>
      </c>
      <c r="B59" s="4">
        <v>5979861</v>
      </c>
      <c r="C59" s="3" t="s">
        <v>40</v>
      </c>
      <c r="D59" s="3" t="s">
        <v>40</v>
      </c>
      <c r="E59" s="3" t="s">
        <v>40</v>
      </c>
      <c r="F59" s="3" t="s">
        <v>40</v>
      </c>
      <c r="G59" s="6">
        <v>5979861</v>
      </c>
    </row>
    <row r="60" spans="1:7" ht="81" x14ac:dyDescent="0.6">
      <c r="A60" s="16" t="s">
        <v>55</v>
      </c>
      <c r="B60" s="4">
        <v>-5802495</v>
      </c>
      <c r="C60" s="3" t="s">
        <v>40</v>
      </c>
      <c r="D60" s="3" t="s">
        <v>40</v>
      </c>
      <c r="E60" s="3" t="s">
        <v>40</v>
      </c>
      <c r="F60" s="3" t="s">
        <v>40</v>
      </c>
      <c r="G60" s="6">
        <v>-5802495</v>
      </c>
    </row>
    <row r="61" spans="1:7" ht="27" x14ac:dyDescent="0.6">
      <c r="A61" s="16" t="s">
        <v>56</v>
      </c>
      <c r="B61" s="4">
        <v>-1468440</v>
      </c>
      <c r="C61" s="3" t="s">
        <v>40</v>
      </c>
      <c r="D61" s="3" t="s">
        <v>40</v>
      </c>
      <c r="E61" s="3" t="s">
        <v>40</v>
      </c>
      <c r="F61" s="3" t="s">
        <v>40</v>
      </c>
      <c r="G61" s="6">
        <v>-1468440</v>
      </c>
    </row>
    <row r="62" spans="1:7" ht="27" x14ac:dyDescent="0.6">
      <c r="A62" s="16" t="s">
        <v>57</v>
      </c>
      <c r="B62" s="4">
        <v>-1291074</v>
      </c>
      <c r="C62" s="3" t="s">
        <v>40</v>
      </c>
      <c r="D62" s="3" t="s">
        <v>40</v>
      </c>
      <c r="E62" s="3" t="s">
        <v>40</v>
      </c>
      <c r="F62" s="3" t="s">
        <v>40</v>
      </c>
      <c r="G62" s="6">
        <v>-1291074</v>
      </c>
    </row>
    <row r="63" spans="1:7" ht="40.5" x14ac:dyDescent="0.6">
      <c r="A63" s="16" t="s">
        <v>22</v>
      </c>
      <c r="B63" s="4">
        <v>32066306</v>
      </c>
      <c r="C63" s="4">
        <v>1337274</v>
      </c>
      <c r="D63" s="4">
        <v>855873</v>
      </c>
      <c r="E63" s="4">
        <v>3311090</v>
      </c>
      <c r="F63" s="4">
        <v>2929952</v>
      </c>
      <c r="G63" s="6">
        <v>40500495</v>
      </c>
    </row>
    <row r="64" spans="1:7" ht="27" x14ac:dyDescent="0.6">
      <c r="A64" s="16" t="s">
        <v>58</v>
      </c>
      <c r="B64" s="3" t="s">
        <v>40</v>
      </c>
      <c r="C64" s="3" t="s">
        <v>40</v>
      </c>
      <c r="D64" s="3" t="s">
        <v>40</v>
      </c>
      <c r="E64" s="3" t="s">
        <v>40</v>
      </c>
      <c r="F64" s="3" t="s">
        <v>40</v>
      </c>
      <c r="G64" s="5" t="s">
        <v>40</v>
      </c>
    </row>
    <row r="65" spans="1:7" ht="27" x14ac:dyDescent="0.6">
      <c r="A65" s="17" t="s">
        <v>59</v>
      </c>
      <c r="B65" s="8">
        <v>32066306</v>
      </c>
      <c r="C65" s="8">
        <v>1337274</v>
      </c>
      <c r="D65" s="8">
        <v>855873</v>
      </c>
      <c r="E65" s="8">
        <v>3311090</v>
      </c>
      <c r="F65" s="8">
        <v>2929952</v>
      </c>
      <c r="G65" s="9">
        <v>40500495</v>
      </c>
    </row>
    <row r="66" spans="1:7" x14ac:dyDescent="0.6">
      <c r="A66" s="14" t="s">
        <v>61</v>
      </c>
    </row>
    <row r="67" spans="1:7" ht="27" x14ac:dyDescent="0.6">
      <c r="A67" s="7" t="s">
        <v>28</v>
      </c>
    </row>
    <row r="68" spans="1:7" ht="27" x14ac:dyDescent="0.6">
      <c r="A68" s="21" t="s">
        <v>29</v>
      </c>
      <c r="B68" s="15" t="s">
        <v>30</v>
      </c>
      <c r="C68" s="15" t="s">
        <v>32</v>
      </c>
      <c r="D68" s="24" t="s">
        <v>12</v>
      </c>
      <c r="E68" s="25"/>
      <c r="F68" s="26"/>
      <c r="G68" s="27" t="s">
        <v>34</v>
      </c>
    </row>
    <row r="69" spans="1:7" ht="27" x14ac:dyDescent="0.6">
      <c r="A69" s="22"/>
      <c r="B69" s="11" t="s">
        <v>31</v>
      </c>
      <c r="C69" s="11" t="s">
        <v>33</v>
      </c>
      <c r="D69" s="30" t="s">
        <v>35</v>
      </c>
      <c r="E69" s="30" t="s">
        <v>36</v>
      </c>
      <c r="F69" s="10" t="s">
        <v>37</v>
      </c>
      <c r="G69" s="28"/>
    </row>
    <row r="70" spans="1:7" x14ac:dyDescent="0.6">
      <c r="A70" s="23"/>
      <c r="B70" s="12"/>
      <c r="C70" s="12"/>
      <c r="D70" s="31"/>
      <c r="E70" s="31"/>
      <c r="F70" s="12" t="s">
        <v>38</v>
      </c>
      <c r="G70" s="29"/>
    </row>
    <row r="71" spans="1:7" ht="27" x14ac:dyDescent="0.6">
      <c r="A71" s="16" t="s">
        <v>39</v>
      </c>
      <c r="B71" s="3" t="s">
        <v>40</v>
      </c>
      <c r="C71" s="3" t="s">
        <v>40</v>
      </c>
      <c r="D71" s="3" t="s">
        <v>40</v>
      </c>
      <c r="E71" s="3" t="s">
        <v>40</v>
      </c>
      <c r="F71" s="3" t="s">
        <v>40</v>
      </c>
      <c r="G71" s="5" t="s">
        <v>40</v>
      </c>
    </row>
    <row r="72" spans="1:7" ht="27" x14ac:dyDescent="0.6">
      <c r="A72" s="16" t="s">
        <v>41</v>
      </c>
      <c r="B72" s="4">
        <v>115860960</v>
      </c>
      <c r="C72" s="4">
        <v>582242</v>
      </c>
      <c r="D72" s="4">
        <v>159624</v>
      </c>
      <c r="E72" s="4">
        <v>1118528</v>
      </c>
      <c r="F72" s="4">
        <v>572731</v>
      </c>
      <c r="G72" s="6">
        <v>118294085</v>
      </c>
    </row>
    <row r="73" spans="1:7" ht="40.5" x14ac:dyDescent="0.6">
      <c r="A73" s="16" t="s">
        <v>17</v>
      </c>
      <c r="B73" s="4">
        <v>115860960</v>
      </c>
      <c r="C73" s="4">
        <v>582242</v>
      </c>
      <c r="D73" s="4">
        <v>159624</v>
      </c>
      <c r="E73" s="4">
        <v>1118528</v>
      </c>
      <c r="F73" s="4">
        <v>572731</v>
      </c>
      <c r="G73" s="6">
        <v>118294085</v>
      </c>
    </row>
    <row r="74" spans="1:7" x14ac:dyDescent="0.6">
      <c r="A74" s="18" t="s">
        <v>18</v>
      </c>
      <c r="B74" s="19"/>
      <c r="C74" s="19"/>
      <c r="D74" s="19"/>
      <c r="E74" s="19"/>
      <c r="F74" s="19"/>
      <c r="G74" s="20"/>
    </row>
    <row r="75" spans="1:7" x14ac:dyDescent="0.6">
      <c r="A75" s="18" t="s">
        <v>19</v>
      </c>
      <c r="B75" s="19"/>
      <c r="C75" s="19"/>
      <c r="D75" s="19"/>
      <c r="E75" s="19"/>
      <c r="F75" s="19"/>
      <c r="G75" s="20"/>
    </row>
    <row r="76" spans="1:7" ht="67.5" x14ac:dyDescent="0.6">
      <c r="A76" s="16" t="s">
        <v>42</v>
      </c>
      <c r="B76" s="3" t="s">
        <v>40</v>
      </c>
      <c r="C76" s="3" t="s">
        <v>40</v>
      </c>
      <c r="D76" s="4">
        <v>-5758</v>
      </c>
      <c r="E76" s="4">
        <v>-47060</v>
      </c>
      <c r="F76" s="4">
        <v>-76019</v>
      </c>
      <c r="G76" s="6">
        <v>-128837</v>
      </c>
    </row>
    <row r="77" spans="1:7" ht="81" x14ac:dyDescent="0.6">
      <c r="A77" s="16" t="s">
        <v>43</v>
      </c>
      <c r="B77" s="3" t="s">
        <v>40</v>
      </c>
      <c r="C77" s="4">
        <v>-54706</v>
      </c>
      <c r="D77" s="3" t="s">
        <v>40</v>
      </c>
      <c r="E77" s="3" t="s">
        <v>40</v>
      </c>
      <c r="F77" s="3" t="s">
        <v>40</v>
      </c>
      <c r="G77" s="6">
        <v>-54706</v>
      </c>
    </row>
    <row r="78" spans="1:7" x14ac:dyDescent="0.6">
      <c r="A78" s="16" t="s">
        <v>44</v>
      </c>
      <c r="B78" s="4">
        <v>-17343</v>
      </c>
      <c r="C78" s="3" t="s">
        <v>40</v>
      </c>
      <c r="D78" s="3" t="s">
        <v>40</v>
      </c>
      <c r="E78" s="3" t="s">
        <v>40</v>
      </c>
      <c r="F78" s="3" t="s">
        <v>40</v>
      </c>
      <c r="G78" s="6">
        <v>-17343</v>
      </c>
    </row>
    <row r="79" spans="1:7" x14ac:dyDescent="0.6">
      <c r="A79" s="18" t="s">
        <v>20</v>
      </c>
      <c r="B79" s="19"/>
      <c r="C79" s="19"/>
      <c r="D79" s="19"/>
      <c r="E79" s="19"/>
      <c r="F79" s="19"/>
      <c r="G79" s="20"/>
    </row>
    <row r="80" spans="1:7" ht="40.5" x14ac:dyDescent="0.6">
      <c r="A80" s="16" t="s">
        <v>45</v>
      </c>
      <c r="B80" s="4">
        <v>-201346</v>
      </c>
      <c r="C80" s="4">
        <v>12686</v>
      </c>
      <c r="D80" s="3" t="s">
        <v>40</v>
      </c>
      <c r="E80" s="3" t="s">
        <v>40</v>
      </c>
      <c r="F80" s="4">
        <v>188920</v>
      </c>
      <c r="G80" s="5">
        <v>260</v>
      </c>
    </row>
    <row r="81" spans="1:7" ht="40.5" x14ac:dyDescent="0.6">
      <c r="A81" s="16" t="s">
        <v>46</v>
      </c>
      <c r="B81" s="4">
        <v>905252</v>
      </c>
      <c r="C81" s="4">
        <v>15880</v>
      </c>
      <c r="D81" s="4">
        <v>-89002</v>
      </c>
      <c r="E81" s="4">
        <v>-656784</v>
      </c>
      <c r="F81" s="4">
        <v>-175346</v>
      </c>
      <c r="G81" s="5" t="s">
        <v>40</v>
      </c>
    </row>
    <row r="82" spans="1:7" ht="67.5" x14ac:dyDescent="0.6">
      <c r="A82" s="16" t="s">
        <v>47</v>
      </c>
      <c r="B82" s="4">
        <v>396240</v>
      </c>
      <c r="C82" s="3" t="s">
        <v>40</v>
      </c>
      <c r="D82" s="3" t="s">
        <v>40</v>
      </c>
      <c r="E82" s="3" t="s">
        <v>40</v>
      </c>
      <c r="F82" s="3" t="s">
        <v>40</v>
      </c>
      <c r="G82" s="6">
        <v>396240</v>
      </c>
    </row>
    <row r="83" spans="1:7" x14ac:dyDescent="0.6">
      <c r="A83" s="18" t="s">
        <v>48</v>
      </c>
      <c r="B83" s="19"/>
      <c r="C83" s="19"/>
      <c r="D83" s="19"/>
      <c r="E83" s="19"/>
      <c r="F83" s="19"/>
      <c r="G83" s="20"/>
    </row>
    <row r="84" spans="1:7" ht="40.5" x14ac:dyDescent="0.6">
      <c r="A84" s="16" t="s">
        <v>49</v>
      </c>
      <c r="B84" s="4">
        <v>184458</v>
      </c>
      <c r="C84" s="3">
        <v>-726</v>
      </c>
      <c r="D84" s="3" t="s">
        <v>40</v>
      </c>
      <c r="E84" s="3" t="s">
        <v>40</v>
      </c>
      <c r="F84" s="3" t="s">
        <v>40</v>
      </c>
      <c r="G84" s="6">
        <v>183732</v>
      </c>
    </row>
    <row r="85" spans="1:7" ht="27" x14ac:dyDescent="0.6">
      <c r="A85" s="16" t="s">
        <v>50</v>
      </c>
      <c r="B85" s="4">
        <v>1267261</v>
      </c>
      <c r="C85" s="4">
        <v>-26866</v>
      </c>
      <c r="D85" s="4">
        <v>-94760</v>
      </c>
      <c r="E85" s="4">
        <v>-703844</v>
      </c>
      <c r="F85" s="4">
        <v>-62445</v>
      </c>
      <c r="G85" s="6">
        <v>379346</v>
      </c>
    </row>
    <row r="86" spans="1:7" ht="40.5" x14ac:dyDescent="0.6">
      <c r="A86" s="16" t="s">
        <v>21</v>
      </c>
      <c r="B86" s="4">
        <v>8963197</v>
      </c>
      <c r="C86" s="4">
        <v>85730</v>
      </c>
      <c r="D86" s="4">
        <v>4151</v>
      </c>
      <c r="E86" s="4">
        <v>22824</v>
      </c>
      <c r="F86" s="4">
        <v>27790</v>
      </c>
      <c r="G86" s="6">
        <v>9103692</v>
      </c>
    </row>
    <row r="87" spans="1:7" ht="27" x14ac:dyDescent="0.6">
      <c r="A87" s="16" t="s">
        <v>51</v>
      </c>
      <c r="B87" s="3" t="s">
        <v>40</v>
      </c>
      <c r="C87" s="3" t="s">
        <v>40</v>
      </c>
      <c r="D87" s="3" t="s">
        <v>40</v>
      </c>
      <c r="E87" s="3" t="s">
        <v>40</v>
      </c>
      <c r="F87" s="3" t="s">
        <v>40</v>
      </c>
      <c r="G87" s="5" t="s">
        <v>40</v>
      </c>
    </row>
    <row r="88" spans="1:7" ht="54" x14ac:dyDescent="0.6">
      <c r="A88" s="16" t="s">
        <v>52</v>
      </c>
      <c r="B88" s="4">
        <v>10230458</v>
      </c>
      <c r="C88" s="4">
        <v>58864</v>
      </c>
      <c r="D88" s="4">
        <v>-90609</v>
      </c>
      <c r="E88" s="4">
        <v>-681020</v>
      </c>
      <c r="F88" s="4">
        <v>-34655</v>
      </c>
      <c r="G88" s="6">
        <v>9483038</v>
      </c>
    </row>
    <row r="89" spans="1:7" x14ac:dyDescent="0.6">
      <c r="A89" s="18" t="s">
        <v>53</v>
      </c>
      <c r="B89" s="19"/>
      <c r="C89" s="19"/>
      <c r="D89" s="19"/>
      <c r="E89" s="19"/>
      <c r="F89" s="19"/>
      <c r="G89" s="20"/>
    </row>
    <row r="90" spans="1:7" ht="27" x14ac:dyDescent="0.6">
      <c r="A90" s="16" t="s">
        <v>54</v>
      </c>
      <c r="B90" s="4">
        <v>5539148</v>
      </c>
      <c r="C90" s="3" t="s">
        <v>40</v>
      </c>
      <c r="D90" s="3" t="s">
        <v>40</v>
      </c>
      <c r="E90" s="3" t="s">
        <v>40</v>
      </c>
      <c r="F90" s="3" t="s">
        <v>40</v>
      </c>
      <c r="G90" s="6">
        <v>5539148</v>
      </c>
    </row>
    <row r="91" spans="1:7" ht="81" x14ac:dyDescent="0.6">
      <c r="A91" s="16" t="s">
        <v>55</v>
      </c>
      <c r="B91" s="4">
        <v>-11639531</v>
      </c>
      <c r="C91" s="3" t="s">
        <v>40</v>
      </c>
      <c r="D91" s="3" t="s">
        <v>40</v>
      </c>
      <c r="E91" s="3" t="s">
        <v>40</v>
      </c>
      <c r="F91" s="3" t="s">
        <v>40</v>
      </c>
      <c r="G91" s="6">
        <v>-11639531</v>
      </c>
    </row>
    <row r="92" spans="1:7" ht="27" x14ac:dyDescent="0.6">
      <c r="A92" s="16" t="s">
        <v>56</v>
      </c>
      <c r="B92" s="4">
        <v>-107946</v>
      </c>
      <c r="C92" s="3" t="s">
        <v>40</v>
      </c>
      <c r="D92" s="3" t="s">
        <v>40</v>
      </c>
      <c r="E92" s="3" t="s">
        <v>40</v>
      </c>
      <c r="F92" s="3" t="s">
        <v>40</v>
      </c>
      <c r="G92" s="6">
        <v>-107946</v>
      </c>
    </row>
    <row r="93" spans="1:7" ht="27" x14ac:dyDescent="0.6">
      <c r="A93" s="16" t="s">
        <v>57</v>
      </c>
      <c r="B93" s="4">
        <v>-6208329</v>
      </c>
      <c r="C93" s="3" t="s">
        <v>40</v>
      </c>
      <c r="D93" s="3" t="s">
        <v>40</v>
      </c>
      <c r="E93" s="3" t="s">
        <v>40</v>
      </c>
      <c r="F93" s="3" t="s">
        <v>40</v>
      </c>
      <c r="G93" s="6">
        <v>-6208329</v>
      </c>
    </row>
    <row r="94" spans="1:7" ht="40.5" x14ac:dyDescent="0.6">
      <c r="A94" s="16" t="s">
        <v>22</v>
      </c>
      <c r="B94" s="4">
        <v>119883089</v>
      </c>
      <c r="C94" s="4">
        <v>641106</v>
      </c>
      <c r="D94" s="4">
        <v>69015</v>
      </c>
      <c r="E94" s="4">
        <v>437508</v>
      </c>
      <c r="F94" s="4">
        <v>538076</v>
      </c>
      <c r="G94" s="6">
        <v>121568794</v>
      </c>
    </row>
    <row r="95" spans="1:7" ht="27" x14ac:dyDescent="0.6">
      <c r="A95" s="16" t="s">
        <v>58</v>
      </c>
      <c r="B95" s="3" t="s">
        <v>40</v>
      </c>
      <c r="C95" s="3" t="s">
        <v>40</v>
      </c>
      <c r="D95" s="3" t="s">
        <v>40</v>
      </c>
      <c r="E95" s="3" t="s">
        <v>40</v>
      </c>
      <c r="F95" s="3" t="s">
        <v>40</v>
      </c>
      <c r="G95" s="5" t="s">
        <v>40</v>
      </c>
    </row>
    <row r="96" spans="1:7" ht="27" x14ac:dyDescent="0.6">
      <c r="A96" s="17" t="s">
        <v>59</v>
      </c>
      <c r="B96" s="8">
        <v>119883089</v>
      </c>
      <c r="C96" s="8">
        <v>641106</v>
      </c>
      <c r="D96" s="8">
        <v>69015</v>
      </c>
      <c r="E96" s="8">
        <v>437508</v>
      </c>
      <c r="F96" s="8">
        <v>538076</v>
      </c>
      <c r="G96" s="9">
        <v>121568794</v>
      </c>
    </row>
  </sheetData>
  <mergeCells count="30">
    <mergeCell ref="A5:A7"/>
    <mergeCell ref="D5:F5"/>
    <mergeCell ref="G5:G7"/>
    <mergeCell ref="D6:D7"/>
    <mergeCell ref="E6:E7"/>
    <mergeCell ref="A11:G11"/>
    <mergeCell ref="A12:G12"/>
    <mergeCell ref="A16:G16"/>
    <mergeCell ref="A20:G20"/>
    <mergeCell ref="A26:G26"/>
    <mergeCell ref="A37:A39"/>
    <mergeCell ref="D37:F37"/>
    <mergeCell ref="G37:G39"/>
    <mergeCell ref="D38:D39"/>
    <mergeCell ref="E38:E39"/>
    <mergeCell ref="A43:G43"/>
    <mergeCell ref="A44:G44"/>
    <mergeCell ref="A48:G48"/>
    <mergeCell ref="A52:G52"/>
    <mergeCell ref="A58:G58"/>
    <mergeCell ref="A68:A70"/>
    <mergeCell ref="D68:F68"/>
    <mergeCell ref="G68:G70"/>
    <mergeCell ref="D69:D70"/>
    <mergeCell ref="E69:E70"/>
    <mergeCell ref="A74:G74"/>
    <mergeCell ref="A75:G75"/>
    <mergeCell ref="A79:G79"/>
    <mergeCell ref="A83:G83"/>
    <mergeCell ref="A89:G8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2026-06-02T15:15:02Z</dcterms:modified>
</cp:coreProperties>
</file>