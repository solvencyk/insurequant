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gwook.cho\Desktop\insurequant\"/>
    </mc:Choice>
  </mc:AlternateContent>
  <xr:revisionPtr revIDLastSave="0" documentId="13_ncr:1_{7A388A78-0D30-4BA9-A7A4-33834E6FA519}" xr6:coauthVersionLast="47" xr6:coauthVersionMax="47" xr10:uidLastSave="{00000000-0000-0000-0000-000000000000}"/>
  <bookViews>
    <workbookView xWindow="-83" yWindow="0" windowWidth="10965" windowHeight="13223" xr2:uid="{B186C083-72FA-4707-BBE5-A56EC0A2D05F}"/>
  </bookViews>
  <sheets>
    <sheet name="Sheet1" sheetId="4" r:id="rId1"/>
    <sheet name="포괄손익계산서" sheetId="3" r:id="rId2"/>
    <sheet name="보험손익" sheetId="1" r:id="rId3"/>
    <sheet name="보험금융비용" sheetId="2" r:id="rId4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3" i="4" l="1"/>
  <c r="J16" i="1"/>
  <c r="J15" i="1"/>
  <c r="J14" i="1"/>
  <c r="J13" i="1"/>
  <c r="J12" i="1"/>
  <c r="H12" i="4"/>
  <c r="H11" i="4"/>
  <c r="H10" i="4"/>
  <c r="H9" i="4"/>
  <c r="H3" i="4" s="1"/>
  <c r="E8" i="4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H4" i="4"/>
  <c r="H7" i="4"/>
  <c r="J2" i="1"/>
  <c r="H24" i="4"/>
  <c r="I24" i="4" s="1"/>
  <c r="H22" i="4"/>
  <c r="H18" i="4"/>
  <c r="H20" i="4" l="1"/>
  <c r="H19" i="4" s="1"/>
  <c r="H17" i="4"/>
  <c r="H16" i="4"/>
  <c r="H6" i="4"/>
  <c r="H5" i="4"/>
  <c r="H8" i="4" s="1"/>
  <c r="H15" i="4"/>
  <c r="H14" i="4"/>
  <c r="E3" i="4"/>
  <c r="E4" i="4" s="1"/>
  <c r="E5" i="4" s="1"/>
  <c r="E6" i="4" s="1"/>
  <c r="E7" i="4" s="1"/>
  <c r="F9" i="3"/>
  <c r="F8" i="3"/>
  <c r="F7" i="3"/>
  <c r="F5" i="3"/>
  <c r="F4" i="3"/>
  <c r="F3" i="3"/>
  <c r="G3" i="3"/>
  <c r="H3" i="3"/>
  <c r="E50" i="1"/>
  <c r="F50" i="1"/>
  <c r="G50" i="1"/>
  <c r="H2" i="4" l="1"/>
  <c r="H21" i="4" l="1"/>
  <c r="I2" i="4"/>
  <c r="H23" i="4" l="1"/>
  <c r="I21" i="4"/>
  <c r="H25" i="4" l="1"/>
  <c r="I25" i="4" s="1"/>
  <c r="I23" i="4"/>
</calcChain>
</file>

<file path=xl/sharedStrings.xml><?xml version="1.0" encoding="utf-8"?>
<sst xmlns="http://schemas.openxmlformats.org/spreadsheetml/2006/main" count="467" uniqueCount="142">
  <si>
    <t>장기보험</t>
  </si>
  <si>
    <t>자동차보험</t>
  </si>
  <si>
    <t>일반보험</t>
  </si>
  <si>
    <t>보험수익</t>
    <phoneticPr fontId="2" type="noConversion"/>
  </si>
  <si>
    <t>보고기간에 발생한 보험서비스비용 (기초 예상 측정치)</t>
  </si>
  <si>
    <t>비금융위험에 대한 위험조정의 변동분</t>
  </si>
  <si>
    <t>서비스의 이전으로 당기손익에 인식한 보험계약마진</t>
  </si>
  <si>
    <t>보험취득 현금흐름의 회수와 관련되는 보험료 부분의 배분액</t>
  </si>
  <si>
    <t>그 밖의 금액</t>
  </si>
  <si>
    <t>총 잔여보장부채의 변동분과 관련되는 금액</t>
  </si>
  <si>
    <t>보험서비스비용</t>
    <phoneticPr fontId="2" type="noConversion"/>
  </si>
  <si>
    <t>발생한 보험금 및 그 밖의 발생한 보험서비스비용</t>
  </si>
  <si>
    <t>과거 서비스와 관련된 금액</t>
  </si>
  <si>
    <t>미래 서비스와 관련된 변동분에 관련된 금액</t>
  </si>
  <si>
    <t>보험취득 현금흐름의 상각에 따른 금액</t>
  </si>
  <si>
    <t>공시분기</t>
  </si>
  <si>
    <t>공시분기</t>
    <phoneticPr fontId="2" type="noConversion"/>
  </si>
  <si>
    <t>2025.4Q</t>
    <phoneticPr fontId="2" type="noConversion"/>
  </si>
  <si>
    <t>사코드</t>
    <phoneticPr fontId="2" type="noConversion"/>
  </si>
  <si>
    <t>KR0008</t>
    <phoneticPr fontId="2" type="noConversion"/>
  </si>
  <si>
    <t>보험수익, 잔여보장부채의 변동과 관련되는 금액</t>
  </si>
  <si>
    <t>재보험비용</t>
    <phoneticPr fontId="2" type="noConversion"/>
  </si>
  <si>
    <t>재보험수익</t>
    <phoneticPr fontId="2" type="noConversion"/>
  </si>
  <si>
    <t>세분류</t>
    <phoneticPr fontId="2" type="noConversion"/>
  </si>
  <si>
    <t>화폐의 시간가치 및 그 변동 효과</t>
  </si>
  <si>
    <t>기타 보험계약집합 장부금액의 변동 효과</t>
  </si>
  <si>
    <t>금융위험 및 그 변동 효과</t>
  </si>
  <si>
    <t>발행한 보험계약</t>
    <phoneticPr fontId="2" type="noConversion"/>
  </si>
  <si>
    <t>보유 재보험계약</t>
    <phoneticPr fontId="2" type="noConversion"/>
  </si>
  <si>
    <t>보험금융수익(비용)</t>
    <phoneticPr fontId="2" type="noConversion"/>
  </si>
  <si>
    <t>당기손익으로 인식한 발행한 보험계약의 보험금융수익(비용)</t>
    <phoneticPr fontId="2" type="noConversion"/>
  </si>
  <si>
    <t>세전기타포괄손익, 당기손익에서 제외되나 당기손익으로 재분류될 발행한 보험계약의 보험금융수익(비용)</t>
    <phoneticPr fontId="2" type="noConversion"/>
  </si>
  <si>
    <t>당기손익으로 인식된, 보유재보험계약 금융수익(비용)</t>
    <phoneticPr fontId="2" type="noConversion"/>
  </si>
  <si>
    <t>세전기타포괄손익, 당기손익에서 제외되는 보유 재보험계약의 금융수익(비용)</t>
    <phoneticPr fontId="2" type="noConversion"/>
  </si>
  <si>
    <t>재보험계약 발행자의 불이행위험 변동효과</t>
    <phoneticPr fontId="2" type="noConversion"/>
  </si>
  <si>
    <t>분류1</t>
    <phoneticPr fontId="2" type="noConversion"/>
  </si>
  <si>
    <t>분류2</t>
    <phoneticPr fontId="2" type="noConversion"/>
  </si>
  <si>
    <t>분류3</t>
    <phoneticPr fontId="2" type="noConversion"/>
  </si>
  <si>
    <t>제 76 기</t>
  </si>
  <si>
    <t>제 75 기</t>
  </si>
  <si>
    <t>제 74 기</t>
  </si>
  <si>
    <t>보험손익</t>
  </si>
  <si>
    <t>　보험영업수익</t>
  </si>
  <si>
    <t>　　보험수익</t>
  </si>
  <si>
    <t>　　재보험수익</t>
  </si>
  <si>
    <t>　　기타영업수익</t>
  </si>
  <si>
    <t>　보험영업비용</t>
  </si>
  <si>
    <t>　　보험서비스비용</t>
  </si>
  <si>
    <t>　　재보험비용</t>
  </si>
  <si>
    <t>　　기타사업비용</t>
  </si>
  <si>
    <t>투자손익</t>
  </si>
  <si>
    <t>　투자영업수익</t>
  </si>
  <si>
    <t>　　보험금융수익</t>
  </si>
  <si>
    <t>　　재보험금융수익</t>
  </si>
  <si>
    <t>　　이자수익</t>
  </si>
  <si>
    <t>　　배당금수익</t>
  </si>
  <si>
    <t>　　당기손익-공정가치측정금융상품관련이익</t>
  </si>
  <si>
    <t>　　기타포괄손익-공정가치측정금융상품관련이익</t>
  </si>
  <si>
    <t>　　상각후원가측정금융상품제거이익</t>
  </si>
  <si>
    <t>　　파생상품거래및평가이익</t>
  </si>
  <si>
    <t>　　신용손실충당금 환입액</t>
  </si>
  <si>
    <t>　　외환거래이익</t>
  </si>
  <si>
    <t>　　기타투자수익</t>
  </si>
  <si>
    <t>　투자영업비용</t>
  </si>
  <si>
    <t>　　보험금융비용</t>
  </si>
  <si>
    <t>　　재보험금융비용</t>
  </si>
  <si>
    <t>　　이자비용</t>
  </si>
  <si>
    <t>　　당기손익-공정가치측정금융상품관련손실</t>
  </si>
  <si>
    <t>　　기타포괄손익-공정가치측정금융상품관련손실</t>
  </si>
  <si>
    <t>　　상각후원가측정금융상품제거손실</t>
  </si>
  <si>
    <t>　　파생상품거래및평가손실</t>
  </si>
  <si>
    <t>　　신용손실충당금전입액</t>
  </si>
  <si>
    <t>　　재산관리비</t>
  </si>
  <si>
    <t>　　외환거래손실</t>
  </si>
  <si>
    <t>　　기타투자비용</t>
  </si>
  <si>
    <t>영업이익</t>
  </si>
  <si>
    <t>영업외수익</t>
  </si>
  <si>
    <t>영업외비용</t>
  </si>
  <si>
    <t>법인세비용차감전순이익</t>
  </si>
  <si>
    <t>법인세비용</t>
  </si>
  <si>
    <t>연결당기순이익</t>
  </si>
  <si>
    <t>　대손준비금 반영후 조정이익</t>
  </si>
  <si>
    <t>　비상위험준비금 반영후 조정이익</t>
  </si>
  <si>
    <t>　해약환급금준비금 반영후 조정이익</t>
  </si>
  <si>
    <t>연결기타포괄손익</t>
  </si>
  <si>
    <t>　후속적으로 당기손익으로 재분류되지 않는 항목</t>
  </si>
  <si>
    <t>　　기타포괄손익-공정가치측정지분증권평가손익</t>
  </si>
  <si>
    <t>　　확정급여제도 재측정요소</t>
  </si>
  <si>
    <t>　후속적으로 당기손익으로 재분류되는 항목</t>
  </si>
  <si>
    <t>　　기타포괄손익-공정가치측정채무증권평가손익</t>
  </si>
  <si>
    <t>　　관계(공동)기업의기타포괄손익</t>
  </si>
  <si>
    <t>　　해외사업환산손익</t>
  </si>
  <si>
    <t>　　현금흐름위험회피파생상품평가손익</t>
  </si>
  <si>
    <t>　　공정가치위험회피파생상품평가손익</t>
  </si>
  <si>
    <t>　　보험계약금융손익</t>
  </si>
  <si>
    <t>　　재보험계약금융손익</t>
  </si>
  <si>
    <t>연결당기총포괄손익</t>
  </si>
  <si>
    <t>연결당기순이익의 귀속</t>
  </si>
  <si>
    <t>　지배기업의 소유주에게 귀속되는 연결당기순이익</t>
  </si>
  <si>
    <t>　비지배지분에 귀속되는 연결당기순이익</t>
  </si>
  <si>
    <t>연결당기총포괄손익의 귀속</t>
  </si>
  <si>
    <t>　지배기업의 소유주에게 귀속되는 연결당기총포괄손익</t>
  </si>
  <si>
    <t>　비지배지분에 귀속되는 연결당기총포괄손익</t>
  </si>
  <si>
    <t>연결주당이익</t>
  </si>
  <si>
    <t>　기본주당이익 (단위 : 원)</t>
  </si>
  <si>
    <t>　희석주당이익 (단위 : 원)</t>
  </si>
  <si>
    <t>RA변동</t>
    <phoneticPr fontId="2" type="noConversion"/>
  </si>
  <si>
    <t>CSM상각</t>
    <phoneticPr fontId="2" type="noConversion"/>
  </si>
  <si>
    <t>당기순이익</t>
  </si>
  <si>
    <t>손해보험</t>
  </si>
  <si>
    <t>법인세</t>
  </si>
  <si>
    <t>세전이익</t>
  </si>
  <si>
    <t>영업외손익</t>
  </si>
  <si>
    <t>기타사업비용</t>
    <phoneticPr fontId="2" type="noConversion"/>
  </si>
  <si>
    <t>기타영업수익</t>
    <phoneticPr fontId="2" type="noConversion"/>
  </si>
  <si>
    <t>보험금융손익</t>
  </si>
  <si>
    <t>투자이익</t>
  </si>
  <si>
    <t>투자손익</t>
    <phoneticPr fontId="2" type="noConversion"/>
  </si>
  <si>
    <t>일반손익</t>
  </si>
  <si>
    <t>자동차손익</t>
  </si>
  <si>
    <t>보험손익</t>
    <phoneticPr fontId="2" type="noConversion"/>
  </si>
  <si>
    <t>값</t>
  </si>
  <si>
    <t>항목명</t>
  </si>
  <si>
    <t>항목번호</t>
  </si>
  <si>
    <t>생손보여부</t>
  </si>
  <si>
    <t>티커</t>
  </si>
  <si>
    <t>원수사명</t>
  </si>
  <si>
    <t>원보험사코드</t>
  </si>
  <si>
    <t>삼성화재</t>
    <phoneticPr fontId="2" type="noConversion"/>
  </si>
  <si>
    <t>검증</t>
    <phoneticPr fontId="2" type="noConversion"/>
  </si>
  <si>
    <t>생명장기 손익</t>
    <phoneticPr fontId="2" type="noConversion"/>
  </si>
  <si>
    <t>생명장기 원수손익</t>
    <phoneticPr fontId="2" type="noConversion"/>
  </si>
  <si>
    <t>생명장기 재보험손익</t>
    <phoneticPr fontId="2" type="noConversion"/>
  </si>
  <si>
    <t>손해보험</t>
    <phoneticPr fontId="2" type="noConversion"/>
  </si>
  <si>
    <t>원수 CSM상각</t>
    <phoneticPr fontId="2" type="noConversion"/>
  </si>
  <si>
    <t>원수 위험조정 변동</t>
    <phoneticPr fontId="2" type="noConversion"/>
  </si>
  <si>
    <t>원수 예실차</t>
    <phoneticPr fontId="2" type="noConversion"/>
  </si>
  <si>
    <t>기타 생명장기 원수손익</t>
    <phoneticPr fontId="2" type="noConversion"/>
  </si>
  <si>
    <t>재보험 CSM상각</t>
    <phoneticPr fontId="2" type="noConversion"/>
  </si>
  <si>
    <t>재보험 위험조정 변동</t>
    <phoneticPr fontId="2" type="noConversion"/>
  </si>
  <si>
    <t>재보험 예실차</t>
    <phoneticPr fontId="2" type="noConversion"/>
  </si>
  <si>
    <t>기타 생명장기 재보험손익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</si>
</sst>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굴림"/>
      <family val="3"/>
      <charset val="129"/>
    </font>
    <font>
      <sz val="8"/>
      <name val="맑은 고딕"/>
      <family val="2"/>
      <charset val="129"/>
      <scheme val="minor"/>
    </font>
    <font>
      <b/>
      <sz val="11"/>
      <color rgb="FF000000"/>
      <name val="굴림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10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>
      <alignment vertical="center"/>
    </xf>
    <xf numFmtId="3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0" fontId="1" fillId="2" borderId="3" xfId="0" applyFont="1" applyFill="1" applyBorder="1" applyAlignment="1">
      <alignment horizontal="center" vertical="center" wrapText="1"/>
    </xf>
    <xf numFmtId="3" fontId="1" fillId="0" borderId="5" xfId="0" applyNumberFormat="1" applyFont="1" applyBorder="1" applyAlignment="1">
      <alignment horizontal="right" vertical="center" wrapText="1"/>
    </xf>
    <xf numFmtId="0" fontId="1" fillId="0" borderId="6" xfId="0" applyFont="1" applyBorder="1" applyAlignment="1">
      <alignment vertical="center" wrapText="1"/>
    </xf>
    <xf numFmtId="0" fontId="1" fillId="0" borderId="6" xfId="0" applyFont="1" applyBorder="1" applyAlignment="1">
      <alignment horizontal="right" vertical="center" wrapText="1"/>
    </xf>
    <xf numFmtId="3" fontId="1" fillId="0" borderId="6" xfId="0" applyNumberFormat="1" applyFont="1" applyBorder="1" applyAlignment="1">
      <alignment horizontal="right" vertical="center" wrapText="1"/>
    </xf>
    <xf numFmtId="3" fontId="1" fillId="0" borderId="7" xfId="0" applyNumberFormat="1" applyFont="1" applyBorder="1" applyAlignment="1">
      <alignment horizontal="right" vertical="center" wrapText="1"/>
    </xf>
    <xf numFmtId="0" fontId="1" fillId="0" borderId="1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5" xfId="0" applyFont="1" applyBorder="1" applyAlignment="1">
      <alignment horizontal="right" vertical="center" wrapText="1"/>
    </xf>
    <xf numFmtId="3" fontId="3" fillId="0" borderId="1" xfId="0" applyNumberFormat="1" applyFont="1" applyBorder="1" applyAlignment="1">
      <alignment horizontal="right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0" borderId="4" xfId="0" applyFont="1" applyBorder="1">
      <alignment vertical="center"/>
    </xf>
    <xf numFmtId="0" fontId="1" fillId="0" borderId="9" xfId="0" applyFont="1" applyBorder="1">
      <alignment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60264-0ADE-4580-BFCD-469F1D8FFBA3}">
  <dimension ref="A1:K25"/>
  <sheetViews>
    <sheetView tabSelected="1" workbookViewId="0">
      <selection activeCell="D7" sqref="D7"/>
    </sheetView>
  </sheetViews>
  <sheetFormatPr defaultRowHeight="16.899999999999999" x14ac:dyDescent="0.6"/>
  <cols>
    <col min="5" max="5" width="9.25" bestFit="1" customWidth="1"/>
    <col min="6" max="6" width="20.9375" bestFit="1" customWidth="1"/>
    <col min="8" max="8" width="16.625" bestFit="1" customWidth="1"/>
  </cols>
  <sheetData>
    <row r="1" spans="1:11" x14ac:dyDescent="0.6">
      <c r="A1" s="20" t="s">
        <v>127</v>
      </c>
      <c r="B1" s="20" t="s">
        <v>126</v>
      </c>
      <c r="C1" s="20" t="s">
        <v>125</v>
      </c>
      <c r="D1" s="20" t="s">
        <v>124</v>
      </c>
      <c r="E1" s="20" t="s">
        <v>123</v>
      </c>
      <c r="F1" s="20" t="s">
        <v>122</v>
      </c>
      <c r="G1" s="20" t="s">
        <v>15</v>
      </c>
      <c r="H1" s="20" t="s">
        <v>121</v>
      </c>
      <c r="I1" s="20" t="s">
        <v>129</v>
      </c>
    </row>
    <row r="2" spans="1:11" x14ac:dyDescent="0.6">
      <c r="A2" s="20" t="s">
        <v>19</v>
      </c>
      <c r="B2" s="20" t="s">
        <v>128</v>
      </c>
      <c r="C2" s="20"/>
      <c r="D2" s="20" t="s">
        <v>109</v>
      </c>
      <c r="E2" s="20">
        <v>1</v>
      </c>
      <c r="F2" t="s">
        <v>120</v>
      </c>
      <c r="G2" s="20" t="s">
        <v>17</v>
      </c>
      <c r="H2" s="2">
        <f>H3+H14+H15+H16-H17</f>
        <v>1483033.6831439999</v>
      </c>
      <c r="I2" t="b">
        <f>ROUND(H2,0)=ROUND(포괄손익계산서!B2/1000000,0)</f>
        <v>1</v>
      </c>
    </row>
    <row r="3" spans="1:11" x14ac:dyDescent="0.6">
      <c r="A3" s="20" t="s">
        <v>19</v>
      </c>
      <c r="B3" s="20" t="s">
        <v>128</v>
      </c>
      <c r="C3" s="20"/>
      <c r="D3" s="20" t="s">
        <v>109</v>
      </c>
      <c r="E3">
        <f t="shared" ref="E3" si="0">E2+1</f>
        <v>2</v>
      </c>
      <c r="F3" t="s">
        <v>130</v>
      </c>
      <c r="G3" t="s">
        <v>17</v>
      </c>
      <c r="H3" s="2">
        <f>H4+H9</f>
        <v>1615071</v>
      </c>
    </row>
    <row r="4" spans="1:11" x14ac:dyDescent="0.6">
      <c r="A4" s="20" t="s">
        <v>19</v>
      </c>
      <c r="B4" s="20" t="s">
        <v>128</v>
      </c>
      <c r="C4" s="20"/>
      <c r="D4" s="20" t="s">
        <v>109</v>
      </c>
      <c r="E4">
        <f t="shared" ref="E4:E25" si="1">E3+1</f>
        <v>3</v>
      </c>
      <c r="F4" t="s">
        <v>131</v>
      </c>
      <c r="G4" t="s">
        <v>17</v>
      </c>
      <c r="H4" s="2">
        <f>SUM(보험손익!E2:E7)-SUM(보험손익!E8:E11)</f>
        <v>1665078</v>
      </c>
    </row>
    <row r="5" spans="1:11" x14ac:dyDescent="0.6">
      <c r="A5" s="20" t="s">
        <v>19</v>
      </c>
      <c r="B5" s="20" t="s">
        <v>128</v>
      </c>
      <c r="C5" s="20"/>
      <c r="D5" s="20" t="s">
        <v>109</v>
      </c>
      <c r="E5">
        <f t="shared" si="1"/>
        <v>4</v>
      </c>
      <c r="F5" t="s">
        <v>134</v>
      </c>
      <c r="G5" t="s">
        <v>17</v>
      </c>
      <c r="H5" s="2">
        <f>보험손익!E4</f>
        <v>1620781</v>
      </c>
    </row>
    <row r="6" spans="1:11" x14ac:dyDescent="0.6">
      <c r="A6" s="20" t="s">
        <v>19</v>
      </c>
      <c r="B6" s="20" t="s">
        <v>128</v>
      </c>
      <c r="C6" s="20"/>
      <c r="D6" s="20" t="s">
        <v>109</v>
      </c>
      <c r="E6">
        <f t="shared" si="1"/>
        <v>5</v>
      </c>
      <c r="F6" t="s">
        <v>135</v>
      </c>
      <c r="G6" t="s">
        <v>17</v>
      </c>
      <c r="H6" s="2">
        <f>보험손익!E3</f>
        <v>198039</v>
      </c>
    </row>
    <row r="7" spans="1:11" x14ac:dyDescent="0.6">
      <c r="A7" s="20" t="s">
        <v>19</v>
      </c>
      <c r="B7" s="20" t="s">
        <v>128</v>
      </c>
      <c r="C7" s="20"/>
      <c r="D7" s="20" t="s">
        <v>109</v>
      </c>
      <c r="E7">
        <f t="shared" si="1"/>
        <v>6</v>
      </c>
      <c r="F7" t="s">
        <v>136</v>
      </c>
      <c r="G7" t="s">
        <v>17</v>
      </c>
      <c r="H7" s="2">
        <f>보험손익!E2-보험손익!E8</f>
        <v>-232090</v>
      </c>
    </row>
    <row r="8" spans="1:11" x14ac:dyDescent="0.6">
      <c r="A8" s="20" t="s">
        <v>19</v>
      </c>
      <c r="B8" s="20" t="s">
        <v>128</v>
      </c>
      <c r="C8" s="20"/>
      <c r="D8" s="20" t="s">
        <v>133</v>
      </c>
      <c r="E8">
        <f t="shared" ref="E8:E25" si="2">E7+1</f>
        <v>7</v>
      </c>
      <c r="F8" t="s">
        <v>137</v>
      </c>
      <c r="G8" t="s">
        <v>17</v>
      </c>
      <c r="H8" s="2">
        <f>H4-SUM(H5:H7)</f>
        <v>78348</v>
      </c>
      <c r="K8" s="2"/>
    </row>
    <row r="9" spans="1:11" x14ac:dyDescent="0.6">
      <c r="A9" s="20" t="s">
        <v>19</v>
      </c>
      <c r="B9" s="20" t="s">
        <v>128</v>
      </c>
      <c r="C9" s="20"/>
      <c r="D9" s="20" t="s">
        <v>133</v>
      </c>
      <c r="E9">
        <f t="shared" si="2"/>
        <v>8</v>
      </c>
      <c r="F9" t="s">
        <v>132</v>
      </c>
      <c r="G9" t="s">
        <v>17</v>
      </c>
      <c r="H9" s="2">
        <f>SUM(보험손익!E17:E19)-SUM(보험손익!E12:E16)</f>
        <v>-50007</v>
      </c>
      <c r="K9" s="2"/>
    </row>
    <row r="10" spans="1:11" x14ac:dyDescent="0.6">
      <c r="A10" s="20" t="s">
        <v>19</v>
      </c>
      <c r="B10" s="20" t="s">
        <v>128</v>
      </c>
      <c r="C10" s="20"/>
      <c r="D10" s="20" t="s">
        <v>133</v>
      </c>
      <c r="E10">
        <f t="shared" si="2"/>
        <v>9</v>
      </c>
      <c r="F10" t="s">
        <v>138</v>
      </c>
      <c r="G10" t="s">
        <v>17</v>
      </c>
      <c r="H10" s="2">
        <f>-보험손익!E14</f>
        <v>-46979</v>
      </c>
      <c r="K10" s="2"/>
    </row>
    <row r="11" spans="1:11" x14ac:dyDescent="0.6">
      <c r="A11" s="20" t="s">
        <v>19</v>
      </c>
      <c r="B11" s="20" t="s">
        <v>128</v>
      </c>
      <c r="C11" s="20"/>
      <c r="D11" s="20" t="s">
        <v>133</v>
      </c>
      <c r="E11">
        <f t="shared" si="2"/>
        <v>10</v>
      </c>
      <c r="F11" t="s">
        <v>139</v>
      </c>
      <c r="G11" t="s">
        <v>17</v>
      </c>
      <c r="H11" s="2">
        <f>-보험손익!E13</f>
        <v>-6164</v>
      </c>
      <c r="K11" s="2"/>
    </row>
    <row r="12" spans="1:11" x14ac:dyDescent="0.6">
      <c r="A12" s="20" t="s">
        <v>19</v>
      </c>
      <c r="B12" s="20" t="s">
        <v>128</v>
      </c>
      <c r="C12" s="20"/>
      <c r="D12" s="20" t="s">
        <v>133</v>
      </c>
      <c r="E12">
        <f t="shared" si="2"/>
        <v>11</v>
      </c>
      <c r="F12" t="s">
        <v>140</v>
      </c>
      <c r="G12" t="s">
        <v>17</v>
      </c>
      <c r="H12" s="2">
        <f>-보험손익!E12+보험손익!E17</f>
        <v>-37111</v>
      </c>
      <c r="K12" s="2"/>
    </row>
    <row r="13" spans="1:11" x14ac:dyDescent="0.6">
      <c r="A13" s="20" t="s">
        <v>19</v>
      </c>
      <c r="B13" s="20" t="s">
        <v>128</v>
      </c>
      <c r="C13" s="20"/>
      <c r="D13" s="20" t="s">
        <v>133</v>
      </c>
      <c r="E13">
        <f t="shared" si="2"/>
        <v>12</v>
      </c>
      <c r="F13" t="s">
        <v>141</v>
      </c>
      <c r="G13" t="s">
        <v>17</v>
      </c>
      <c r="H13" s="2">
        <f>H9-SUM(H10:H12)</f>
        <v>40247</v>
      </c>
      <c r="K13" s="2"/>
    </row>
    <row r="14" spans="1:11" x14ac:dyDescent="0.6">
      <c r="A14" s="20" t="s">
        <v>19</v>
      </c>
      <c r="B14" s="20" t="s">
        <v>128</v>
      </c>
      <c r="C14" s="20"/>
      <c r="D14" s="20" t="s">
        <v>133</v>
      </c>
      <c r="E14">
        <f t="shared" si="2"/>
        <v>13</v>
      </c>
      <c r="F14" t="s">
        <v>119</v>
      </c>
      <c r="G14" t="s">
        <v>17</v>
      </c>
      <c r="H14" s="2">
        <f>SUM(보험손익!F2:F7,보험손익!F17:F19)-SUM(보험손익!F8:F16)</f>
        <v>-121722</v>
      </c>
    </row>
    <row r="15" spans="1:11" x14ac:dyDescent="0.6">
      <c r="A15" s="20" t="s">
        <v>19</v>
      </c>
      <c r="B15" s="20" t="s">
        <v>128</v>
      </c>
      <c r="C15" s="20"/>
      <c r="D15" s="20" t="s">
        <v>109</v>
      </c>
      <c r="E15">
        <f t="shared" si="2"/>
        <v>14</v>
      </c>
      <c r="F15" t="s">
        <v>118</v>
      </c>
      <c r="G15" t="s">
        <v>17</v>
      </c>
      <c r="H15" s="2">
        <f>SUM(보험손익!G2:G7,보험손익!G17:G19)-SUM(보험손익!G8:G16)</f>
        <v>179564</v>
      </c>
    </row>
    <row r="16" spans="1:11" x14ac:dyDescent="0.6">
      <c r="A16" s="20" t="s">
        <v>19</v>
      </c>
      <c r="B16" s="20" t="s">
        <v>128</v>
      </c>
      <c r="C16" s="20"/>
      <c r="D16" s="20" t="s">
        <v>109</v>
      </c>
      <c r="E16">
        <f t="shared" si="2"/>
        <v>15</v>
      </c>
      <c r="F16" t="s">
        <v>114</v>
      </c>
      <c r="G16" t="s">
        <v>17</v>
      </c>
      <c r="H16" s="2">
        <f>포괄손익계산서!B6/1000000</f>
        <v>16727.913766000001</v>
      </c>
    </row>
    <row r="17" spans="1:9" x14ac:dyDescent="0.6">
      <c r="A17" s="20" t="s">
        <v>19</v>
      </c>
      <c r="B17" s="20" t="s">
        <v>128</v>
      </c>
      <c r="C17" s="20"/>
      <c r="D17" s="20" t="s">
        <v>109</v>
      </c>
      <c r="E17">
        <f t="shared" si="2"/>
        <v>16</v>
      </c>
      <c r="F17" t="s">
        <v>113</v>
      </c>
      <c r="G17" t="s">
        <v>17</v>
      </c>
      <c r="H17" s="2">
        <f>포괄손익계산서!B10/1000000</f>
        <v>206607.230622</v>
      </c>
    </row>
    <row r="18" spans="1:9" x14ac:dyDescent="0.6">
      <c r="A18" s="20" t="s">
        <v>19</v>
      </c>
      <c r="B18" s="20" t="s">
        <v>128</v>
      </c>
      <c r="C18" s="20"/>
      <c r="D18" s="20" t="s">
        <v>109</v>
      </c>
      <c r="E18">
        <f t="shared" si="2"/>
        <v>17</v>
      </c>
      <c r="F18" t="s">
        <v>117</v>
      </c>
      <c r="G18" t="s">
        <v>17</v>
      </c>
      <c r="H18" s="2">
        <f>포괄손익계산서!B11/1000000</f>
        <v>1176108.913616</v>
      </c>
    </row>
    <row r="19" spans="1:9" x14ac:dyDescent="0.6">
      <c r="A19" s="20" t="s">
        <v>19</v>
      </c>
      <c r="B19" s="20" t="s">
        <v>128</v>
      </c>
      <c r="C19" s="20"/>
      <c r="D19" s="20" t="s">
        <v>109</v>
      </c>
      <c r="E19">
        <f t="shared" si="2"/>
        <v>18</v>
      </c>
      <c r="F19" t="s">
        <v>116</v>
      </c>
      <c r="G19" t="s">
        <v>17</v>
      </c>
      <c r="H19" s="2">
        <f>H18-H20</f>
        <v>2437218.0945370002</v>
      </c>
    </row>
    <row r="20" spans="1:9" x14ac:dyDescent="0.6">
      <c r="A20" s="20" t="s">
        <v>19</v>
      </c>
      <c r="B20" s="20" t="s">
        <v>128</v>
      </c>
      <c r="C20" s="20"/>
      <c r="D20" s="20" t="s">
        <v>109</v>
      </c>
      <c r="E20">
        <f t="shared" si="2"/>
        <v>19</v>
      </c>
      <c r="F20" t="s">
        <v>115</v>
      </c>
      <c r="G20" t="s">
        <v>17</v>
      </c>
      <c r="H20" s="2">
        <f>(포괄손익계산서!B13+포괄손익계산서!B14-포괄손익계산서!B25-포괄손익계산서!B26)/1000000</f>
        <v>-1261109.180921</v>
      </c>
    </row>
    <row r="21" spans="1:9" x14ac:dyDescent="0.6">
      <c r="A21" s="20" t="s">
        <v>19</v>
      </c>
      <c r="B21" s="20" t="s">
        <v>128</v>
      </c>
      <c r="C21" s="20"/>
      <c r="D21" s="20" t="s">
        <v>109</v>
      </c>
      <c r="E21">
        <f t="shared" si="2"/>
        <v>20</v>
      </c>
      <c r="F21" t="s">
        <v>75</v>
      </c>
      <c r="G21" t="s">
        <v>17</v>
      </c>
      <c r="H21" s="2">
        <f>H2+H18</f>
        <v>2659142.5967600001</v>
      </c>
      <c r="I21" t="b">
        <f>ROUND(H21,0)=ROUND(포괄손익계산서!B36/1000000,0)</f>
        <v>1</v>
      </c>
    </row>
    <row r="22" spans="1:9" x14ac:dyDescent="0.6">
      <c r="A22" s="20" t="s">
        <v>19</v>
      </c>
      <c r="B22" s="20" t="s">
        <v>128</v>
      </c>
      <c r="C22" s="20"/>
      <c r="D22" s="20" t="s">
        <v>109</v>
      </c>
      <c r="E22">
        <f t="shared" si="2"/>
        <v>21</v>
      </c>
      <c r="F22" t="s">
        <v>112</v>
      </c>
      <c r="G22" t="s">
        <v>17</v>
      </c>
      <c r="H22" s="2">
        <f>(포괄손익계산서!B37-포괄손익계산서!B38)/1000000</f>
        <v>124166.89631</v>
      </c>
    </row>
    <row r="23" spans="1:9" x14ac:dyDescent="0.6">
      <c r="A23" s="20" t="s">
        <v>19</v>
      </c>
      <c r="B23" s="20" t="s">
        <v>128</v>
      </c>
      <c r="C23" s="20"/>
      <c r="D23" s="20" t="s">
        <v>109</v>
      </c>
      <c r="E23">
        <f t="shared" si="2"/>
        <v>22</v>
      </c>
      <c r="F23" t="s">
        <v>111</v>
      </c>
      <c r="G23" t="s">
        <v>17</v>
      </c>
      <c r="H23" s="2">
        <f>H21+H22</f>
        <v>2783309.4930700003</v>
      </c>
      <c r="I23" t="b">
        <f>ABS(ROUND(H23,0)-ROUND(포괄손익계산서!B39/1000000,0))&lt;2</f>
        <v>1</v>
      </c>
    </row>
    <row r="24" spans="1:9" x14ac:dyDescent="0.6">
      <c r="A24" s="20" t="s">
        <v>19</v>
      </c>
      <c r="B24" s="20" t="s">
        <v>128</v>
      </c>
      <c r="C24" s="20"/>
      <c r="D24" s="20" t="s">
        <v>109</v>
      </c>
      <c r="E24">
        <f t="shared" si="2"/>
        <v>23</v>
      </c>
      <c r="F24" t="s">
        <v>110</v>
      </c>
      <c r="G24" t="s">
        <v>17</v>
      </c>
      <c r="H24" s="2">
        <f>포괄손익계산서!B40/1000000</f>
        <v>763022.76619899995</v>
      </c>
      <c r="I24" t="b">
        <f>ROUND(포괄손익계산서!B40/1000000,0)=ROUND(H24,0)</f>
        <v>1</v>
      </c>
    </row>
    <row r="25" spans="1:9" x14ac:dyDescent="0.6">
      <c r="A25" s="20" t="s">
        <v>19</v>
      </c>
      <c r="B25" s="20" t="s">
        <v>128</v>
      </c>
      <c r="C25" s="20"/>
      <c r="D25" s="20" t="s">
        <v>109</v>
      </c>
      <c r="E25">
        <f t="shared" si="2"/>
        <v>24</v>
      </c>
      <c r="F25" t="s">
        <v>108</v>
      </c>
      <c r="G25" t="s">
        <v>17</v>
      </c>
      <c r="H25" s="2">
        <f>H23-H24</f>
        <v>2020286.7268710004</v>
      </c>
      <c r="I25" s="2" t="b">
        <f>ROUND(H25,0)=ROUND(포괄손익계산서!B41/1000000,0)</f>
        <v>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8248A-C364-46D5-83DC-A0E51DBEED06}">
  <dimension ref="A1:H66"/>
  <sheetViews>
    <sheetView workbookViewId="0">
      <selection activeCell="B39" sqref="B39"/>
    </sheetView>
  </sheetViews>
  <sheetFormatPr defaultRowHeight="16.899999999999999" x14ac:dyDescent="0.6"/>
  <cols>
    <col min="1" max="1" width="48.5" bestFit="1" customWidth="1"/>
    <col min="2" max="2" width="19" bestFit="1" customWidth="1"/>
    <col min="3" max="3" width="19.0625" bestFit="1" customWidth="1"/>
    <col min="4" max="4" width="19" bestFit="1" customWidth="1"/>
  </cols>
  <sheetData>
    <row r="1" spans="1:8" x14ac:dyDescent="0.6">
      <c r="A1" s="17"/>
      <c r="B1" s="6" t="s">
        <v>38</v>
      </c>
      <c r="C1" s="6" t="s">
        <v>39</v>
      </c>
      <c r="D1" s="16" t="s">
        <v>40</v>
      </c>
    </row>
    <row r="2" spans="1:8" x14ac:dyDescent="0.6">
      <c r="A2" s="18" t="s">
        <v>41</v>
      </c>
      <c r="B2" s="3">
        <v>1483034088528</v>
      </c>
      <c r="C2" s="3">
        <v>1818315960226</v>
      </c>
      <c r="D2" s="7">
        <v>1936082397269</v>
      </c>
    </row>
    <row r="3" spans="1:8" x14ac:dyDescent="0.6">
      <c r="A3" s="18" t="s">
        <v>42</v>
      </c>
      <c r="B3" s="3">
        <v>19530026324425</v>
      </c>
      <c r="C3" s="3">
        <v>17823215032495</v>
      </c>
      <c r="D3" s="7">
        <v>17020053932407</v>
      </c>
      <c r="F3" t="b">
        <f t="shared" ref="F3:H3" si="0">B3=SUM(B4:B6)</f>
        <v>1</v>
      </c>
      <c r="G3" t="b">
        <f t="shared" si="0"/>
        <v>1</v>
      </c>
      <c r="H3" t="b">
        <f t="shared" si="0"/>
        <v>1</v>
      </c>
    </row>
    <row r="4" spans="1:8" x14ac:dyDescent="0.6">
      <c r="A4" s="18" t="s">
        <v>43</v>
      </c>
      <c r="B4" s="3">
        <v>18639982044735</v>
      </c>
      <c r="C4" s="3">
        <v>17276463586462</v>
      </c>
      <c r="D4" s="7">
        <v>16485954618894</v>
      </c>
      <c r="F4" t="b">
        <f>ROUND(B4/1000000,0)=SUM(보험손익!E2:G7)</f>
        <v>1</v>
      </c>
    </row>
    <row r="5" spans="1:8" x14ac:dyDescent="0.6">
      <c r="A5" s="18" t="s">
        <v>44</v>
      </c>
      <c r="B5" s="3">
        <v>873316365924</v>
      </c>
      <c r="C5" s="3">
        <v>519692202895</v>
      </c>
      <c r="D5" s="7">
        <v>511054343427</v>
      </c>
      <c r="F5" t="b">
        <f>ROUND(B5/1000000,0)=SUM(보험손익!E17:G19)</f>
        <v>1</v>
      </c>
    </row>
    <row r="6" spans="1:8" x14ac:dyDescent="0.6">
      <c r="A6" s="18" t="s">
        <v>45</v>
      </c>
      <c r="B6" s="3">
        <v>16727913766</v>
      </c>
      <c r="C6" s="3">
        <v>27059243138</v>
      </c>
      <c r="D6" s="7">
        <v>23044970086</v>
      </c>
    </row>
    <row r="7" spans="1:8" x14ac:dyDescent="0.6">
      <c r="A7" s="18" t="s">
        <v>46</v>
      </c>
      <c r="B7" s="3">
        <v>18046992235897</v>
      </c>
      <c r="C7" s="3">
        <v>16004899072269</v>
      </c>
      <c r="D7" s="7">
        <v>15083971535138</v>
      </c>
      <c r="F7" t="b">
        <f>B7=SUM(B8:B10)</f>
        <v>1</v>
      </c>
    </row>
    <row r="8" spans="1:8" x14ac:dyDescent="0.6">
      <c r="A8" s="18" t="s">
        <v>47</v>
      </c>
      <c r="B8" s="3">
        <v>16505274666751</v>
      </c>
      <c r="C8" s="3">
        <v>14508652781004</v>
      </c>
      <c r="D8" s="7">
        <v>13481857455155</v>
      </c>
      <c r="F8" t="b">
        <f>ROUND(B8/1000000,0)=SUM(보험손익!E8:G11)</f>
        <v>1</v>
      </c>
    </row>
    <row r="9" spans="1:8" x14ac:dyDescent="0.6">
      <c r="A9" s="18" t="s">
        <v>48</v>
      </c>
      <c r="B9" s="3">
        <v>1335110338524</v>
      </c>
      <c r="C9" s="3">
        <v>1266732386990</v>
      </c>
      <c r="D9" s="7">
        <v>1215565892787</v>
      </c>
      <c r="F9" t="b">
        <f>ROUND(B9/1000000,0)=SUM(보험손익!E12:G16)</f>
        <v>1</v>
      </c>
    </row>
    <row r="10" spans="1:8" x14ac:dyDescent="0.6">
      <c r="A10" s="18" t="s">
        <v>49</v>
      </c>
      <c r="B10" s="3">
        <v>206607230622</v>
      </c>
      <c r="C10" s="3">
        <v>229513904275</v>
      </c>
      <c r="D10" s="7">
        <v>386548187196</v>
      </c>
    </row>
    <row r="11" spans="1:8" x14ac:dyDescent="0.6">
      <c r="A11" s="18" t="s">
        <v>50</v>
      </c>
      <c r="B11" s="3">
        <v>1176108913616</v>
      </c>
      <c r="C11" s="3">
        <v>831280727807</v>
      </c>
      <c r="D11" s="7">
        <v>421201020216</v>
      </c>
    </row>
    <row r="12" spans="1:8" x14ac:dyDescent="0.6">
      <c r="A12" s="18" t="s">
        <v>51</v>
      </c>
      <c r="B12" s="3">
        <v>5248493216039</v>
      </c>
      <c r="C12" s="3">
        <v>4833752628172</v>
      </c>
      <c r="D12" s="7">
        <v>3804653397761</v>
      </c>
    </row>
    <row r="13" spans="1:8" x14ac:dyDescent="0.6">
      <c r="A13" s="18" t="s">
        <v>52</v>
      </c>
      <c r="B13" s="3">
        <v>232479113442</v>
      </c>
      <c r="C13" s="3">
        <v>136583506117</v>
      </c>
      <c r="D13" s="7">
        <v>184156479643</v>
      </c>
    </row>
    <row r="14" spans="1:8" x14ac:dyDescent="0.6">
      <c r="A14" s="18" t="s">
        <v>53</v>
      </c>
      <c r="B14" s="3">
        <v>133093397814</v>
      </c>
      <c r="C14" s="3">
        <v>123319808363</v>
      </c>
      <c r="D14" s="7">
        <v>99347473035</v>
      </c>
    </row>
    <row r="15" spans="1:8" x14ac:dyDescent="0.6">
      <c r="A15" s="18" t="s">
        <v>54</v>
      </c>
      <c r="B15" s="3">
        <v>2371311653539</v>
      </c>
      <c r="C15" s="3">
        <v>2251532693274</v>
      </c>
      <c r="D15" s="7">
        <v>2104556761339</v>
      </c>
    </row>
    <row r="16" spans="1:8" x14ac:dyDescent="0.6">
      <c r="A16" s="18" t="s">
        <v>55</v>
      </c>
      <c r="B16" s="3">
        <v>187870644717</v>
      </c>
      <c r="C16" s="3">
        <v>160102542257</v>
      </c>
      <c r="D16" s="7">
        <v>144145216088</v>
      </c>
    </row>
    <row r="17" spans="1:4" x14ac:dyDescent="0.6">
      <c r="A17" s="18" t="s">
        <v>56</v>
      </c>
      <c r="B17" s="3">
        <v>425164130692</v>
      </c>
      <c r="C17" s="3">
        <v>401996359453</v>
      </c>
      <c r="D17" s="7">
        <v>310803758083</v>
      </c>
    </row>
    <row r="18" spans="1:4" x14ac:dyDescent="0.6">
      <c r="A18" s="18" t="s">
        <v>57</v>
      </c>
      <c r="B18" s="3">
        <v>20558787020</v>
      </c>
      <c r="C18" s="3">
        <v>13760378182</v>
      </c>
      <c r="D18" s="7">
        <v>11894002036</v>
      </c>
    </row>
    <row r="19" spans="1:4" x14ac:dyDescent="0.6">
      <c r="A19" s="18" t="s">
        <v>58</v>
      </c>
      <c r="B19" s="3">
        <v>14252202021</v>
      </c>
      <c r="C19" s="3">
        <v>1076311082</v>
      </c>
      <c r="D19" s="7">
        <v>1209843317</v>
      </c>
    </row>
    <row r="20" spans="1:4" x14ac:dyDescent="0.6">
      <c r="A20" s="18" t="s">
        <v>59</v>
      </c>
      <c r="B20" s="3">
        <v>296048190123</v>
      </c>
      <c r="C20" s="3">
        <v>25897178997</v>
      </c>
      <c r="D20" s="7">
        <v>138196612419</v>
      </c>
    </row>
    <row r="21" spans="1:4" x14ac:dyDescent="0.6">
      <c r="A21" s="18" t="s">
        <v>60</v>
      </c>
      <c r="B21" s="3">
        <v>18037890784</v>
      </c>
      <c r="C21" s="3">
        <v>19600625965</v>
      </c>
      <c r="D21" s="7">
        <v>38553440397</v>
      </c>
    </row>
    <row r="22" spans="1:4" x14ac:dyDescent="0.6">
      <c r="A22" s="18" t="s">
        <v>61</v>
      </c>
      <c r="B22" s="3">
        <v>557995394611</v>
      </c>
      <c r="C22" s="3">
        <v>1130852906213</v>
      </c>
      <c r="D22" s="7">
        <v>368531824596</v>
      </c>
    </row>
    <row r="23" spans="1:4" x14ac:dyDescent="0.6">
      <c r="A23" s="18" t="s">
        <v>62</v>
      </c>
      <c r="B23" s="3">
        <v>991681811276</v>
      </c>
      <c r="C23" s="3">
        <v>569030318269</v>
      </c>
      <c r="D23" s="7">
        <v>403257986808</v>
      </c>
    </row>
    <row r="24" spans="1:4" x14ac:dyDescent="0.6">
      <c r="A24" s="18" t="s">
        <v>63</v>
      </c>
      <c r="B24" s="3">
        <v>4072384302423</v>
      </c>
      <c r="C24" s="3">
        <v>4002471900365</v>
      </c>
      <c r="D24" s="7">
        <v>3383452377545</v>
      </c>
    </row>
    <row r="25" spans="1:4" x14ac:dyDescent="0.6">
      <c r="A25" s="18" t="s">
        <v>64</v>
      </c>
      <c r="B25" s="3">
        <v>1545762706264</v>
      </c>
      <c r="C25" s="3">
        <v>1548588796799</v>
      </c>
      <c r="D25" s="7">
        <v>1601510630133</v>
      </c>
    </row>
    <row r="26" spans="1:4" x14ac:dyDescent="0.6">
      <c r="A26" s="18" t="s">
        <v>65</v>
      </c>
      <c r="B26" s="3">
        <v>80918985913</v>
      </c>
      <c r="C26" s="3">
        <v>48762234094</v>
      </c>
      <c r="D26" s="7">
        <v>53052301377</v>
      </c>
    </row>
    <row r="27" spans="1:4" x14ac:dyDescent="0.6">
      <c r="A27" s="18" t="s">
        <v>66</v>
      </c>
      <c r="B27" s="3">
        <v>599010152085</v>
      </c>
      <c r="C27" s="3">
        <v>457189081885</v>
      </c>
      <c r="D27" s="7">
        <v>445160420333</v>
      </c>
    </row>
    <row r="28" spans="1:4" x14ac:dyDescent="0.6">
      <c r="A28" s="18" t="s">
        <v>67</v>
      </c>
      <c r="B28" s="3">
        <v>229209703047</v>
      </c>
      <c r="C28" s="3">
        <v>244776950230</v>
      </c>
      <c r="D28" s="7">
        <v>302106200680</v>
      </c>
    </row>
    <row r="29" spans="1:4" x14ac:dyDescent="0.6">
      <c r="A29" s="18" t="s">
        <v>68</v>
      </c>
      <c r="B29" s="3">
        <v>438214224793</v>
      </c>
      <c r="C29" s="3">
        <v>247170244500</v>
      </c>
      <c r="D29" s="7">
        <v>278124544358</v>
      </c>
    </row>
    <row r="30" spans="1:4" x14ac:dyDescent="0.6">
      <c r="A30" s="18" t="s">
        <v>69</v>
      </c>
      <c r="B30" s="3">
        <v>1525207035</v>
      </c>
      <c r="C30" s="3">
        <v>879410066</v>
      </c>
      <c r="D30" s="7">
        <v>726602764</v>
      </c>
    </row>
    <row r="31" spans="1:4" x14ac:dyDescent="0.6">
      <c r="A31" s="18" t="s">
        <v>70</v>
      </c>
      <c r="B31" s="3">
        <v>527741421949</v>
      </c>
      <c r="C31" s="3">
        <v>1069191135254</v>
      </c>
      <c r="D31" s="7">
        <v>396854361987</v>
      </c>
    </row>
    <row r="32" spans="1:4" x14ac:dyDescent="0.6">
      <c r="A32" s="18" t="s">
        <v>71</v>
      </c>
      <c r="B32" s="3">
        <v>102076454141</v>
      </c>
      <c r="C32" s="3">
        <v>148821986569</v>
      </c>
      <c r="D32" s="7">
        <v>19260655738</v>
      </c>
    </row>
    <row r="33" spans="1:4" x14ac:dyDescent="0.6">
      <c r="A33" s="18" t="s">
        <v>72</v>
      </c>
      <c r="B33" s="3">
        <v>81206124262</v>
      </c>
      <c r="C33" s="3">
        <v>69059754856</v>
      </c>
      <c r="D33" s="7">
        <v>63602364342</v>
      </c>
    </row>
    <row r="34" spans="1:4" x14ac:dyDescent="0.6">
      <c r="A34" s="18" t="s">
        <v>73</v>
      </c>
      <c r="B34" s="3">
        <v>380840568800</v>
      </c>
      <c r="C34" s="3">
        <v>85914819167</v>
      </c>
      <c r="D34" s="7">
        <v>147208905851</v>
      </c>
    </row>
    <row r="35" spans="1:4" x14ac:dyDescent="0.6">
      <c r="A35" s="18" t="s">
        <v>74</v>
      </c>
      <c r="B35" s="3">
        <v>85878754134</v>
      </c>
      <c r="C35" s="3">
        <v>82117486945</v>
      </c>
      <c r="D35" s="7">
        <v>75845389982</v>
      </c>
    </row>
    <row r="36" spans="1:4" x14ac:dyDescent="0.6">
      <c r="A36" s="18" t="s">
        <v>75</v>
      </c>
      <c r="B36" s="3">
        <v>2659143002144</v>
      </c>
      <c r="C36" s="3">
        <v>2649596688033</v>
      </c>
      <c r="D36" s="7">
        <v>2357283417485</v>
      </c>
    </row>
    <row r="37" spans="1:4" x14ac:dyDescent="0.6">
      <c r="A37" s="18" t="s">
        <v>76</v>
      </c>
      <c r="B37" s="3">
        <v>148071219768</v>
      </c>
      <c r="C37" s="3">
        <v>120178048768</v>
      </c>
      <c r="D37" s="7">
        <v>118672950353</v>
      </c>
    </row>
    <row r="38" spans="1:4" x14ac:dyDescent="0.6">
      <c r="A38" s="18" t="s">
        <v>77</v>
      </c>
      <c r="B38" s="3">
        <v>23904323458</v>
      </c>
      <c r="C38" s="3">
        <v>25225656084</v>
      </c>
      <c r="D38" s="7">
        <v>29374611696</v>
      </c>
    </row>
    <row r="39" spans="1:4" x14ac:dyDescent="0.6">
      <c r="A39" s="18" t="s">
        <v>78</v>
      </c>
      <c r="B39" s="3">
        <v>2783309898454</v>
      </c>
      <c r="C39" s="3">
        <v>2744549080717</v>
      </c>
      <c r="D39" s="7">
        <v>2446581756142</v>
      </c>
    </row>
    <row r="40" spans="1:4" x14ac:dyDescent="0.6">
      <c r="A40" s="18" t="s">
        <v>79</v>
      </c>
      <c r="B40" s="3">
        <v>763022766199</v>
      </c>
      <c r="C40" s="3">
        <v>667751367734</v>
      </c>
      <c r="D40" s="7">
        <v>624967413095</v>
      </c>
    </row>
    <row r="41" spans="1:4" x14ac:dyDescent="0.6">
      <c r="A41" s="18" t="s">
        <v>80</v>
      </c>
      <c r="B41" s="3">
        <v>2020287132255</v>
      </c>
      <c r="C41" s="3">
        <v>2076797712983</v>
      </c>
      <c r="D41" s="7">
        <v>1821614343047</v>
      </c>
    </row>
    <row r="42" spans="1:4" x14ac:dyDescent="0.6">
      <c r="A42" s="18" t="s">
        <v>81</v>
      </c>
      <c r="B42" s="3">
        <v>2025579753560</v>
      </c>
      <c r="C42" s="3">
        <v>2075795002334</v>
      </c>
      <c r="D42" s="7">
        <v>1899784305930</v>
      </c>
    </row>
    <row r="43" spans="1:4" x14ac:dyDescent="0.6">
      <c r="A43" s="18" t="s">
        <v>82</v>
      </c>
      <c r="B43" s="3">
        <v>2199637111549</v>
      </c>
      <c r="C43" s="3">
        <v>1904835087811</v>
      </c>
      <c r="D43" s="7">
        <v>1724481672386</v>
      </c>
    </row>
    <row r="44" spans="1:4" x14ac:dyDescent="0.6">
      <c r="A44" s="18" t="s">
        <v>83</v>
      </c>
      <c r="B44" s="3">
        <v>103316458027</v>
      </c>
      <c r="C44" s="3">
        <v>1043710554040</v>
      </c>
      <c r="D44" s="7">
        <v>641602206688</v>
      </c>
    </row>
    <row r="45" spans="1:4" x14ac:dyDescent="0.6">
      <c r="A45" s="18" t="s">
        <v>84</v>
      </c>
      <c r="B45" s="3">
        <v>4477588884472</v>
      </c>
      <c r="C45" s="3">
        <v>-1935688573917</v>
      </c>
      <c r="D45" s="7">
        <v>2632490526672</v>
      </c>
    </row>
    <row r="46" spans="1:4" x14ac:dyDescent="0.6">
      <c r="A46" s="18" t="s">
        <v>85</v>
      </c>
      <c r="B46" s="3">
        <v>4290866963165</v>
      </c>
      <c r="C46" s="3">
        <v>-1668311389081</v>
      </c>
      <c r="D46" s="7">
        <v>1478048020060</v>
      </c>
    </row>
    <row r="47" spans="1:4" x14ac:dyDescent="0.6">
      <c r="A47" s="18" t="s">
        <v>86</v>
      </c>
      <c r="B47" s="3">
        <v>4311712511072</v>
      </c>
      <c r="C47" s="3">
        <v>-1624361257280</v>
      </c>
      <c r="D47" s="7">
        <v>1545135060264</v>
      </c>
    </row>
    <row r="48" spans="1:4" x14ac:dyDescent="0.6">
      <c r="A48" s="18" t="s">
        <v>87</v>
      </c>
      <c r="B48" s="3">
        <v>-20845547907</v>
      </c>
      <c r="C48" s="3">
        <v>-43950131801</v>
      </c>
      <c r="D48" s="7">
        <v>-67087040204</v>
      </c>
    </row>
    <row r="49" spans="1:4" x14ac:dyDescent="0.6">
      <c r="A49" s="18" t="s">
        <v>88</v>
      </c>
      <c r="B49" s="3">
        <v>186721921307</v>
      </c>
      <c r="C49" s="3">
        <v>-267377184836</v>
      </c>
      <c r="D49" s="7">
        <v>1154442506612</v>
      </c>
    </row>
    <row r="50" spans="1:4" x14ac:dyDescent="0.6">
      <c r="A50" s="18" t="s">
        <v>89</v>
      </c>
      <c r="B50" s="3">
        <v>-336722714526</v>
      </c>
      <c r="C50" s="3">
        <v>578289510016</v>
      </c>
      <c r="D50" s="7">
        <v>1694694083789</v>
      </c>
    </row>
    <row r="51" spans="1:4" x14ac:dyDescent="0.6">
      <c r="A51" s="18" t="s">
        <v>90</v>
      </c>
      <c r="B51" s="3">
        <v>23794979418</v>
      </c>
      <c r="C51" s="3">
        <v>5981797889</v>
      </c>
      <c r="D51" s="7">
        <v>-8605624932</v>
      </c>
    </row>
    <row r="52" spans="1:4" x14ac:dyDescent="0.6">
      <c r="A52" s="18" t="s">
        <v>91</v>
      </c>
      <c r="B52" s="3">
        <v>7016212014</v>
      </c>
      <c r="C52" s="3">
        <v>64666265919</v>
      </c>
      <c r="D52" s="7">
        <v>11534031842</v>
      </c>
    </row>
    <row r="53" spans="1:4" x14ac:dyDescent="0.6">
      <c r="A53" s="18" t="s">
        <v>92</v>
      </c>
      <c r="B53" s="3">
        <v>-217651358093</v>
      </c>
      <c r="C53" s="3">
        <v>18752901707</v>
      </c>
      <c r="D53" s="7">
        <v>32446191626</v>
      </c>
    </row>
    <row r="54" spans="1:4" x14ac:dyDescent="0.6">
      <c r="A54" s="18" t="s">
        <v>93</v>
      </c>
      <c r="B54" s="3">
        <v>-1960223683</v>
      </c>
      <c r="C54" s="3">
        <v>-790388542</v>
      </c>
      <c r="D54" s="7">
        <v>-195585261</v>
      </c>
    </row>
    <row r="55" spans="1:4" x14ac:dyDescent="0.6">
      <c r="A55" s="18" t="s">
        <v>94</v>
      </c>
      <c r="B55" s="3">
        <v>696303778915</v>
      </c>
      <c r="C55" s="3">
        <v>-933003312671</v>
      </c>
      <c r="D55" s="7">
        <v>-592327474753</v>
      </c>
    </row>
    <row r="56" spans="1:4" x14ac:dyDescent="0.6">
      <c r="A56" s="18" t="s">
        <v>95</v>
      </c>
      <c r="B56" s="3">
        <v>15941247262</v>
      </c>
      <c r="C56" s="3">
        <v>-1273959154</v>
      </c>
      <c r="D56" s="7">
        <v>16896884301</v>
      </c>
    </row>
    <row r="57" spans="1:4" x14ac:dyDescent="0.6">
      <c r="A57" s="18" t="s">
        <v>96</v>
      </c>
      <c r="B57" s="3">
        <v>6497876016727</v>
      </c>
      <c r="C57" s="3">
        <v>141109139066</v>
      </c>
      <c r="D57" s="7">
        <v>4454104869719</v>
      </c>
    </row>
    <row r="58" spans="1:4" x14ac:dyDescent="0.6">
      <c r="A58" s="18" t="s">
        <v>97</v>
      </c>
      <c r="B58" s="5"/>
      <c r="C58" s="5"/>
      <c r="D58" s="14"/>
    </row>
    <row r="59" spans="1:4" x14ac:dyDescent="0.6">
      <c r="A59" s="18" t="s">
        <v>98</v>
      </c>
      <c r="B59" s="3">
        <v>2018286152118</v>
      </c>
      <c r="C59" s="3">
        <v>2073571536369</v>
      </c>
      <c r="D59" s="7">
        <v>1818433660138</v>
      </c>
    </row>
    <row r="60" spans="1:4" x14ac:dyDescent="0.6">
      <c r="A60" s="18" t="s">
        <v>99</v>
      </c>
      <c r="B60" s="3">
        <v>2000980137</v>
      </c>
      <c r="C60" s="3">
        <v>3226176614</v>
      </c>
      <c r="D60" s="7">
        <v>3180682909</v>
      </c>
    </row>
    <row r="61" spans="1:4" x14ac:dyDescent="0.6">
      <c r="A61" s="18" t="s">
        <v>100</v>
      </c>
      <c r="B61" s="5"/>
      <c r="C61" s="5"/>
      <c r="D61" s="14"/>
    </row>
    <row r="62" spans="1:4" x14ac:dyDescent="0.6">
      <c r="A62" s="18" t="s">
        <v>101</v>
      </c>
      <c r="B62" s="3">
        <v>6497736422070</v>
      </c>
      <c r="C62" s="3">
        <v>135223838108</v>
      </c>
      <c r="D62" s="7">
        <v>4450891760042</v>
      </c>
    </row>
    <row r="63" spans="1:4" x14ac:dyDescent="0.6">
      <c r="A63" s="18" t="s">
        <v>102</v>
      </c>
      <c r="B63" s="3">
        <v>139594657</v>
      </c>
      <c r="C63" s="3">
        <v>5885300958</v>
      </c>
      <c r="D63" s="7">
        <v>3213109677</v>
      </c>
    </row>
    <row r="64" spans="1:4" x14ac:dyDescent="0.6">
      <c r="A64" s="18" t="s">
        <v>103</v>
      </c>
      <c r="B64" s="5"/>
      <c r="C64" s="5"/>
      <c r="D64" s="14"/>
    </row>
    <row r="65" spans="1:4" x14ac:dyDescent="0.6">
      <c r="A65" s="18" t="s">
        <v>104</v>
      </c>
      <c r="B65" s="3">
        <v>47478</v>
      </c>
      <c r="C65" s="3">
        <v>48779</v>
      </c>
      <c r="D65" s="7">
        <v>42777</v>
      </c>
    </row>
    <row r="66" spans="1:4" x14ac:dyDescent="0.6">
      <c r="A66" s="19" t="s">
        <v>105</v>
      </c>
      <c r="B66" s="10">
        <v>47478</v>
      </c>
      <c r="C66" s="10">
        <v>48779</v>
      </c>
      <c r="D66" s="11">
        <v>42777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4DA82-6A21-44FC-86F1-F467AB2ECEED}">
  <dimension ref="A1:N50"/>
  <sheetViews>
    <sheetView zoomScale="55" zoomScaleNormal="55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J16" sqref="J16"/>
    </sheetView>
  </sheetViews>
  <sheetFormatPr defaultRowHeight="16.899999999999999" x14ac:dyDescent="0.6"/>
  <cols>
    <col min="3" max="3" width="17.875" bestFit="1" customWidth="1"/>
    <col min="4" max="4" width="49.125" bestFit="1" customWidth="1"/>
    <col min="5" max="5" width="9.625" bestFit="1" customWidth="1"/>
    <col min="6" max="6" width="11" bestFit="1" customWidth="1"/>
    <col min="7" max="7" width="9.8125" bestFit="1" customWidth="1"/>
    <col min="8" max="8" width="2.4375" bestFit="1" customWidth="1"/>
    <col min="9" max="9" width="6" bestFit="1" customWidth="1"/>
    <col min="10" max="10" width="9.625" bestFit="1" customWidth="1"/>
    <col min="11" max="11" width="8.1875" bestFit="1" customWidth="1"/>
    <col min="12" max="12" width="9.625" bestFit="1" customWidth="1"/>
    <col min="13" max="14" width="8.1875" bestFit="1" customWidth="1"/>
    <col min="15" max="15" width="7.0625" bestFit="1" customWidth="1"/>
    <col min="16" max="16" width="2.4375" bestFit="1" customWidth="1"/>
    <col min="17" max="17" width="6" bestFit="1" customWidth="1"/>
    <col min="18" max="18" width="7.0625" bestFit="1" customWidth="1"/>
    <col min="19" max="22" width="2.4375" bestFit="1" customWidth="1"/>
    <col min="23" max="23" width="7.0625" bestFit="1" customWidth="1"/>
    <col min="24" max="24" width="6" bestFit="1" customWidth="1"/>
    <col min="25" max="26" width="7.0625" bestFit="1" customWidth="1"/>
  </cols>
  <sheetData>
    <row r="1" spans="1:14" x14ac:dyDescent="0.6">
      <c r="A1" t="s">
        <v>18</v>
      </c>
      <c r="B1" t="s">
        <v>16</v>
      </c>
      <c r="C1" t="s">
        <v>35</v>
      </c>
      <c r="D1" s="1" t="s">
        <v>23</v>
      </c>
      <c r="E1" s="1" t="s">
        <v>0</v>
      </c>
      <c r="F1" s="1" t="s">
        <v>1</v>
      </c>
      <c r="G1" s="1" t="s">
        <v>2</v>
      </c>
    </row>
    <row r="2" spans="1:14" x14ac:dyDescent="0.6">
      <c r="A2" t="s">
        <v>19</v>
      </c>
      <c r="B2" t="s">
        <v>17</v>
      </c>
      <c r="C2" t="s">
        <v>3</v>
      </c>
      <c r="D2" s="12" t="s">
        <v>4</v>
      </c>
      <c r="E2" s="3">
        <v>6639295</v>
      </c>
      <c r="F2" s="5">
        <v>0</v>
      </c>
      <c r="G2" s="5">
        <v>0</v>
      </c>
      <c r="J2" s="2">
        <f>E2-E8-E12+E17</f>
        <v>-269201</v>
      </c>
      <c r="L2" s="2"/>
      <c r="M2" s="2"/>
      <c r="N2" s="2"/>
    </row>
    <row r="3" spans="1:14" x14ac:dyDescent="0.6">
      <c r="A3" t="s">
        <v>19</v>
      </c>
      <c r="B3" t="s">
        <v>17</v>
      </c>
      <c r="C3" t="s">
        <v>3</v>
      </c>
      <c r="D3" s="12" t="s">
        <v>5</v>
      </c>
      <c r="E3" s="15">
        <v>198039</v>
      </c>
      <c r="F3" s="5">
        <v>0</v>
      </c>
      <c r="G3" s="5">
        <v>0</v>
      </c>
      <c r="I3" t="s">
        <v>106</v>
      </c>
    </row>
    <row r="4" spans="1:14" x14ac:dyDescent="0.6">
      <c r="A4" t="s">
        <v>19</v>
      </c>
      <c r="B4" t="s">
        <v>17</v>
      </c>
      <c r="C4" t="s">
        <v>3</v>
      </c>
      <c r="D4" s="12" t="s">
        <v>6</v>
      </c>
      <c r="E4" s="15">
        <v>1620781</v>
      </c>
      <c r="F4" s="5">
        <v>0</v>
      </c>
      <c r="G4" s="5">
        <v>0</v>
      </c>
      <c r="I4" t="s">
        <v>107</v>
      </c>
    </row>
    <row r="5" spans="1:14" x14ac:dyDescent="0.6">
      <c r="A5" t="s">
        <v>19</v>
      </c>
      <c r="B5" t="s">
        <v>17</v>
      </c>
      <c r="C5" t="s">
        <v>3</v>
      </c>
      <c r="D5" s="12" t="s">
        <v>7</v>
      </c>
      <c r="E5" s="3">
        <v>1628566</v>
      </c>
      <c r="F5" s="5">
        <v>0</v>
      </c>
      <c r="G5" s="5">
        <v>0</v>
      </c>
      <c r="J5" s="2"/>
    </row>
    <row r="6" spans="1:14" x14ac:dyDescent="0.6">
      <c r="A6" t="s">
        <v>19</v>
      </c>
      <c r="B6" t="s">
        <v>17</v>
      </c>
      <c r="C6" t="s">
        <v>3</v>
      </c>
      <c r="D6" s="12" t="s">
        <v>8</v>
      </c>
      <c r="E6" s="3">
        <v>-62064</v>
      </c>
      <c r="F6" s="5">
        <v>0</v>
      </c>
      <c r="G6" s="5">
        <v>0</v>
      </c>
    </row>
    <row r="7" spans="1:14" x14ac:dyDescent="0.6">
      <c r="A7" t="s">
        <v>19</v>
      </c>
      <c r="B7" t="s">
        <v>17</v>
      </c>
      <c r="C7" t="s">
        <v>3</v>
      </c>
      <c r="D7" s="13" t="s">
        <v>9</v>
      </c>
      <c r="E7" s="9">
        <v>0</v>
      </c>
      <c r="F7" s="10">
        <v>5565082</v>
      </c>
      <c r="G7" s="10">
        <v>3050283</v>
      </c>
    </row>
    <row r="8" spans="1:14" ht="16.899999999999999" customHeight="1" x14ac:dyDescent="0.6">
      <c r="A8" t="s">
        <v>19</v>
      </c>
      <c r="B8" t="s">
        <v>17</v>
      </c>
      <c r="C8" t="s">
        <v>10</v>
      </c>
      <c r="D8" s="4" t="s">
        <v>11</v>
      </c>
      <c r="E8" s="3">
        <v>6871385</v>
      </c>
      <c r="F8" s="3">
        <v>5428861</v>
      </c>
      <c r="G8" s="3">
        <v>1931162</v>
      </c>
      <c r="J8" s="2"/>
    </row>
    <row r="9" spans="1:14" x14ac:dyDescent="0.6">
      <c r="A9" t="s">
        <v>19</v>
      </c>
      <c r="B9" t="s">
        <v>17</v>
      </c>
      <c r="C9" t="s">
        <v>10</v>
      </c>
      <c r="D9" s="4" t="s">
        <v>12</v>
      </c>
      <c r="E9" s="3">
        <v>-125931</v>
      </c>
      <c r="F9" s="3">
        <v>-155206</v>
      </c>
      <c r="G9" s="3">
        <v>294111</v>
      </c>
    </row>
    <row r="10" spans="1:14" x14ac:dyDescent="0.6">
      <c r="A10" t="s">
        <v>19</v>
      </c>
      <c r="B10" t="s">
        <v>17</v>
      </c>
      <c r="C10" t="s">
        <v>10</v>
      </c>
      <c r="D10" s="4" t="s">
        <v>13</v>
      </c>
      <c r="E10" s="3">
        <v>-14481</v>
      </c>
      <c r="F10" s="5">
        <v>0</v>
      </c>
      <c r="G10" s="3">
        <v>-1771</v>
      </c>
    </row>
    <row r="11" spans="1:14" x14ac:dyDescent="0.6">
      <c r="A11" t="s">
        <v>19</v>
      </c>
      <c r="B11" t="s">
        <v>17</v>
      </c>
      <c r="C11" t="s">
        <v>10</v>
      </c>
      <c r="D11" s="8" t="s">
        <v>14</v>
      </c>
      <c r="E11" s="10">
        <v>1628566</v>
      </c>
      <c r="F11" s="10">
        <v>413459</v>
      </c>
      <c r="G11" s="10">
        <v>235120</v>
      </c>
    </row>
    <row r="12" spans="1:14" x14ac:dyDescent="0.6">
      <c r="A12" t="s">
        <v>19</v>
      </c>
      <c r="B12" t="s">
        <v>17</v>
      </c>
      <c r="C12" t="s">
        <v>21</v>
      </c>
      <c r="D12" s="4" t="s">
        <v>4</v>
      </c>
      <c r="E12" s="3">
        <v>232463</v>
      </c>
      <c r="F12" s="5">
        <v>0</v>
      </c>
      <c r="G12" s="5">
        <v>0</v>
      </c>
      <c r="J12" s="2">
        <f>SUM(E17:E19)-SUM(E12:E16)</f>
        <v>-50007</v>
      </c>
    </row>
    <row r="13" spans="1:14" x14ac:dyDescent="0.6">
      <c r="A13" t="s">
        <v>19</v>
      </c>
      <c r="B13" t="s">
        <v>17</v>
      </c>
      <c r="C13" t="s">
        <v>21</v>
      </c>
      <c r="D13" s="4" t="s">
        <v>5</v>
      </c>
      <c r="E13" s="3">
        <v>6164</v>
      </c>
      <c r="F13" s="5">
        <v>0</v>
      </c>
      <c r="G13" s="5">
        <v>0</v>
      </c>
      <c r="J13" s="2">
        <f>E17-E12</f>
        <v>-37111</v>
      </c>
    </row>
    <row r="14" spans="1:14" x14ac:dyDescent="0.6">
      <c r="A14" t="s">
        <v>19</v>
      </c>
      <c r="B14" t="s">
        <v>17</v>
      </c>
      <c r="C14" t="s">
        <v>21</v>
      </c>
      <c r="D14" s="4" t="s">
        <v>6</v>
      </c>
      <c r="E14" s="3">
        <v>46979</v>
      </c>
      <c r="F14" s="5">
        <v>0</v>
      </c>
      <c r="G14" s="5">
        <v>0</v>
      </c>
      <c r="J14" s="2">
        <f>-E13</f>
        <v>-6164</v>
      </c>
    </row>
    <row r="15" spans="1:14" x14ac:dyDescent="0.6">
      <c r="A15" t="s">
        <v>19</v>
      </c>
      <c r="B15" t="s">
        <v>17</v>
      </c>
      <c r="C15" t="s">
        <v>21</v>
      </c>
      <c r="D15" s="4" t="s">
        <v>8</v>
      </c>
      <c r="E15" s="3">
        <v>-54108</v>
      </c>
      <c r="F15" s="5">
        <v>0</v>
      </c>
      <c r="G15" s="5">
        <v>0</v>
      </c>
      <c r="J15" s="2">
        <f>-E14</f>
        <v>-46979</v>
      </c>
    </row>
    <row r="16" spans="1:14" x14ac:dyDescent="0.6">
      <c r="A16" t="s">
        <v>19</v>
      </c>
      <c r="B16" t="s">
        <v>17</v>
      </c>
      <c r="C16" t="s">
        <v>21</v>
      </c>
      <c r="D16" s="8" t="s">
        <v>20</v>
      </c>
      <c r="E16" s="9">
        <v>853</v>
      </c>
      <c r="F16" s="9">
        <v>0</v>
      </c>
      <c r="G16" s="10">
        <v>1102759</v>
      </c>
      <c r="J16" s="2">
        <f>-E15-E16+E18+E19</f>
        <v>40247</v>
      </c>
    </row>
    <row r="17" spans="1:7" x14ac:dyDescent="0.6">
      <c r="A17" t="s">
        <v>19</v>
      </c>
      <c r="B17" t="s">
        <v>17</v>
      </c>
      <c r="C17" t="s">
        <v>22</v>
      </c>
      <c r="D17" s="4" t="s">
        <v>11</v>
      </c>
      <c r="E17" s="3">
        <v>195352</v>
      </c>
      <c r="F17" s="5">
        <v>-3</v>
      </c>
      <c r="G17" s="3">
        <v>507684</v>
      </c>
    </row>
    <row r="18" spans="1:7" x14ac:dyDescent="0.6">
      <c r="A18" t="s">
        <v>19</v>
      </c>
      <c r="B18" t="s">
        <v>17</v>
      </c>
      <c r="C18" t="s">
        <v>22</v>
      </c>
      <c r="D18" s="4" t="s">
        <v>12</v>
      </c>
      <c r="E18" s="3">
        <v>-12675</v>
      </c>
      <c r="F18" s="5">
        <v>313</v>
      </c>
      <c r="G18" s="3">
        <v>183740</v>
      </c>
    </row>
    <row r="19" spans="1:7" x14ac:dyDescent="0.6">
      <c r="A19" t="s">
        <v>19</v>
      </c>
      <c r="B19" t="s">
        <v>17</v>
      </c>
      <c r="C19" t="s">
        <v>22</v>
      </c>
      <c r="D19" s="8" t="s">
        <v>13</v>
      </c>
      <c r="E19" s="9">
        <v>-333</v>
      </c>
      <c r="F19" s="9">
        <v>0</v>
      </c>
      <c r="G19" s="9">
        <v>-762</v>
      </c>
    </row>
    <row r="50" spans="5:7" x14ac:dyDescent="0.6">
      <c r="E50" s="2">
        <f>SUM(E2:E7,E17:E19)-SUM(E8:E16)+SUM(보험금융비용!G2:G31)</f>
        <v>1394999</v>
      </c>
      <c r="F50" s="2">
        <f>SUM(F2:F7,F17:F19)-SUM(F8:F16)+SUM(보험금융비용!H2:H31)</f>
        <v>-149250</v>
      </c>
      <c r="G50" s="2">
        <f>SUM(G2:G7,G17:G19)-SUM(G8:G16)+SUM(보험금융비용!I2:I31)</f>
        <v>138364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D8DC4-2253-4547-8E1C-8AA21DB4E758}">
  <dimension ref="A1:I31"/>
  <sheetViews>
    <sheetView workbookViewId="0">
      <selection activeCell="A2" sqref="A2"/>
    </sheetView>
  </sheetViews>
  <sheetFormatPr defaultRowHeight="16.899999999999999" x14ac:dyDescent="0.6"/>
  <sheetData>
    <row r="1" spans="1:9" ht="27" x14ac:dyDescent="0.6">
      <c r="A1" t="s">
        <v>18</v>
      </c>
      <c r="B1" t="s">
        <v>16</v>
      </c>
      <c r="C1" t="s">
        <v>35</v>
      </c>
      <c r="D1" t="s">
        <v>36</v>
      </c>
      <c r="E1" t="s">
        <v>37</v>
      </c>
      <c r="F1" s="1" t="s">
        <v>23</v>
      </c>
      <c r="G1" s="1" t="s">
        <v>0</v>
      </c>
      <c r="H1" s="1" t="s">
        <v>1</v>
      </c>
      <c r="I1" s="1" t="s">
        <v>2</v>
      </c>
    </row>
    <row r="2" spans="1:9" ht="16.899999999999999" customHeight="1" x14ac:dyDescent="0.6">
      <c r="A2" t="s">
        <v>19</v>
      </c>
      <c r="B2" t="s">
        <v>17</v>
      </c>
      <c r="C2" t="s">
        <v>29</v>
      </c>
      <c r="D2" t="s">
        <v>27</v>
      </c>
      <c r="E2" t="s">
        <v>30</v>
      </c>
      <c r="F2" t="s">
        <v>24</v>
      </c>
      <c r="G2">
        <v>-1196694</v>
      </c>
      <c r="H2">
        <v>-30865</v>
      </c>
      <c r="I2">
        <v>-82516</v>
      </c>
    </row>
    <row r="3" spans="1:9" x14ac:dyDescent="0.6">
      <c r="A3" t="s">
        <v>19</v>
      </c>
      <c r="B3" t="s">
        <v>17</v>
      </c>
      <c r="C3" t="s">
        <v>29</v>
      </c>
      <c r="D3" t="s">
        <v>27</v>
      </c>
      <c r="E3" t="s">
        <v>30</v>
      </c>
      <c r="F3" t="s">
        <v>25</v>
      </c>
      <c r="G3">
        <v>0</v>
      </c>
      <c r="H3">
        <v>0</v>
      </c>
      <c r="I3">
        <v>-3208</v>
      </c>
    </row>
    <row r="4" spans="1:9" x14ac:dyDescent="0.6">
      <c r="A4" t="s">
        <v>19</v>
      </c>
      <c r="B4" t="s">
        <v>17</v>
      </c>
      <c r="C4" t="s">
        <v>29</v>
      </c>
      <c r="D4" t="s">
        <v>27</v>
      </c>
      <c r="E4" t="s">
        <v>30</v>
      </c>
      <c r="F4" t="s">
        <v>26</v>
      </c>
      <c r="G4">
        <v>0</v>
      </c>
      <c r="H4">
        <v>0</v>
      </c>
      <c r="I4">
        <v>0</v>
      </c>
    </row>
    <row r="5" spans="1:9" x14ac:dyDescent="0.6">
      <c r="A5" t="s">
        <v>19</v>
      </c>
      <c r="B5" t="s">
        <v>17</v>
      </c>
      <c r="C5" t="s">
        <v>29</v>
      </c>
      <c r="D5" t="s">
        <v>28</v>
      </c>
      <c r="E5" t="s">
        <v>30</v>
      </c>
      <c r="F5" t="s">
        <v>24</v>
      </c>
      <c r="G5">
        <v>0</v>
      </c>
      <c r="H5">
        <v>0</v>
      </c>
      <c r="I5">
        <v>0</v>
      </c>
    </row>
    <row r="6" spans="1:9" x14ac:dyDescent="0.6">
      <c r="A6" t="s">
        <v>19</v>
      </c>
      <c r="B6" t="s">
        <v>17</v>
      </c>
      <c r="C6" t="s">
        <v>29</v>
      </c>
      <c r="D6" t="s">
        <v>28</v>
      </c>
      <c r="E6" t="s">
        <v>30</v>
      </c>
      <c r="F6" t="s">
        <v>25</v>
      </c>
      <c r="G6">
        <v>0</v>
      </c>
      <c r="H6">
        <v>0</v>
      </c>
      <c r="I6">
        <v>0</v>
      </c>
    </row>
    <row r="7" spans="1:9" x14ac:dyDescent="0.6">
      <c r="A7" t="s">
        <v>19</v>
      </c>
      <c r="B7" t="s">
        <v>17</v>
      </c>
      <c r="C7" t="s">
        <v>29</v>
      </c>
      <c r="D7" t="s">
        <v>28</v>
      </c>
      <c r="E7" t="s">
        <v>30</v>
      </c>
      <c r="F7" t="s">
        <v>26</v>
      </c>
      <c r="G7">
        <v>0</v>
      </c>
      <c r="H7">
        <v>0</v>
      </c>
      <c r="I7">
        <v>0</v>
      </c>
    </row>
    <row r="8" spans="1:9" x14ac:dyDescent="0.6">
      <c r="A8" t="s">
        <v>19</v>
      </c>
      <c r="B8" t="s">
        <v>17</v>
      </c>
      <c r="C8" t="s">
        <v>29</v>
      </c>
      <c r="D8" t="s">
        <v>27</v>
      </c>
      <c r="E8" t="s">
        <v>31</v>
      </c>
      <c r="F8" t="s">
        <v>24</v>
      </c>
      <c r="G8">
        <v>0</v>
      </c>
      <c r="H8">
        <v>0</v>
      </c>
      <c r="I8">
        <v>0</v>
      </c>
    </row>
    <row r="9" spans="1:9" x14ac:dyDescent="0.6">
      <c r="A9" t="s">
        <v>19</v>
      </c>
      <c r="B9" t="s">
        <v>17</v>
      </c>
      <c r="C9" t="s">
        <v>29</v>
      </c>
      <c r="D9" t="s">
        <v>27</v>
      </c>
      <c r="E9" t="s">
        <v>31</v>
      </c>
      <c r="F9" t="s">
        <v>25</v>
      </c>
      <c r="G9">
        <v>0</v>
      </c>
      <c r="H9">
        <v>0</v>
      </c>
      <c r="I9">
        <v>3306</v>
      </c>
    </row>
    <row r="10" spans="1:9" x14ac:dyDescent="0.6">
      <c r="A10" t="s">
        <v>19</v>
      </c>
      <c r="B10" t="s">
        <v>17</v>
      </c>
      <c r="C10" t="s">
        <v>29</v>
      </c>
      <c r="D10" t="s">
        <v>27</v>
      </c>
      <c r="E10" t="s">
        <v>31</v>
      </c>
      <c r="F10" t="s">
        <v>26</v>
      </c>
      <c r="G10">
        <v>956311</v>
      </c>
      <c r="H10">
        <v>3337</v>
      </c>
      <c r="I10">
        <v>-15787</v>
      </c>
    </row>
    <row r="11" spans="1:9" x14ac:dyDescent="0.6">
      <c r="A11" t="s">
        <v>19</v>
      </c>
      <c r="B11" t="s">
        <v>17</v>
      </c>
      <c r="C11" t="s">
        <v>29</v>
      </c>
      <c r="D11" t="s">
        <v>28</v>
      </c>
      <c r="E11" t="s">
        <v>31</v>
      </c>
      <c r="F11" t="s">
        <v>24</v>
      </c>
      <c r="G11">
        <v>0</v>
      </c>
      <c r="H11">
        <v>0</v>
      </c>
      <c r="I11">
        <v>0</v>
      </c>
    </row>
    <row r="12" spans="1:9" x14ac:dyDescent="0.6">
      <c r="A12" t="s">
        <v>19</v>
      </c>
      <c r="B12" t="s">
        <v>17</v>
      </c>
      <c r="C12" t="s">
        <v>29</v>
      </c>
      <c r="D12" t="s">
        <v>28</v>
      </c>
      <c r="E12" t="s">
        <v>31</v>
      </c>
      <c r="F12" t="s">
        <v>25</v>
      </c>
      <c r="G12">
        <v>0</v>
      </c>
      <c r="H12">
        <v>0</v>
      </c>
      <c r="I12">
        <v>0</v>
      </c>
    </row>
    <row r="13" spans="1:9" x14ac:dyDescent="0.6">
      <c r="A13" t="s">
        <v>19</v>
      </c>
      <c r="B13" t="s">
        <v>17</v>
      </c>
      <c r="C13" t="s">
        <v>29</v>
      </c>
      <c r="D13" t="s">
        <v>28</v>
      </c>
      <c r="E13" t="s">
        <v>31</v>
      </c>
      <c r="F13" t="s">
        <v>26</v>
      </c>
      <c r="G13">
        <v>0</v>
      </c>
      <c r="H13">
        <v>0</v>
      </c>
      <c r="I13">
        <v>0</v>
      </c>
    </row>
    <row r="14" spans="1:9" x14ac:dyDescent="0.6">
      <c r="A14" t="s">
        <v>19</v>
      </c>
      <c r="B14" t="s">
        <v>17</v>
      </c>
      <c r="C14" t="s">
        <v>29</v>
      </c>
      <c r="D14" t="s">
        <v>27</v>
      </c>
      <c r="E14" t="s">
        <v>32</v>
      </c>
      <c r="F14" t="s">
        <v>24</v>
      </c>
      <c r="G14">
        <v>0</v>
      </c>
      <c r="H14">
        <v>0</v>
      </c>
      <c r="I14">
        <v>0</v>
      </c>
    </row>
    <row r="15" spans="1:9" x14ac:dyDescent="0.6">
      <c r="A15" t="s">
        <v>19</v>
      </c>
      <c r="B15" t="s">
        <v>17</v>
      </c>
      <c r="C15" t="s">
        <v>29</v>
      </c>
      <c r="D15" t="s">
        <v>27</v>
      </c>
      <c r="E15" t="s">
        <v>32</v>
      </c>
      <c r="F15" t="s">
        <v>25</v>
      </c>
      <c r="G15">
        <v>0</v>
      </c>
      <c r="H15">
        <v>0</v>
      </c>
      <c r="I15">
        <v>0</v>
      </c>
    </row>
    <row r="16" spans="1:9" x14ac:dyDescent="0.6">
      <c r="A16" t="s">
        <v>19</v>
      </c>
      <c r="B16" t="s">
        <v>17</v>
      </c>
      <c r="C16" t="s">
        <v>29</v>
      </c>
      <c r="D16" t="s">
        <v>27</v>
      </c>
      <c r="E16" t="s">
        <v>32</v>
      </c>
      <c r="F16" t="s">
        <v>26</v>
      </c>
      <c r="G16">
        <v>0</v>
      </c>
      <c r="H16">
        <v>0</v>
      </c>
      <c r="I16">
        <v>0</v>
      </c>
    </row>
    <row r="17" spans="1:9" x14ac:dyDescent="0.6">
      <c r="A17" t="s">
        <v>19</v>
      </c>
      <c r="B17" t="s">
        <v>17</v>
      </c>
      <c r="C17" t="s">
        <v>29</v>
      </c>
      <c r="D17" t="s">
        <v>28</v>
      </c>
      <c r="E17" t="s">
        <v>32</v>
      </c>
      <c r="F17" t="s">
        <v>24</v>
      </c>
      <c r="G17">
        <v>11879</v>
      </c>
      <c r="H17">
        <v>0</v>
      </c>
      <c r="I17">
        <v>38698</v>
      </c>
    </row>
    <row r="18" spans="1:9" x14ac:dyDescent="0.6">
      <c r="A18" t="s">
        <v>19</v>
      </c>
      <c r="B18" t="s">
        <v>17</v>
      </c>
      <c r="C18" t="s">
        <v>29</v>
      </c>
      <c r="D18" t="s">
        <v>28</v>
      </c>
      <c r="E18" t="s">
        <v>32</v>
      </c>
      <c r="F18" t="s">
        <v>25</v>
      </c>
      <c r="G18">
        <v>0</v>
      </c>
      <c r="H18">
        <v>0</v>
      </c>
      <c r="I18">
        <v>5047</v>
      </c>
    </row>
    <row r="19" spans="1:9" x14ac:dyDescent="0.6">
      <c r="A19" t="s">
        <v>19</v>
      </c>
      <c r="B19" t="s">
        <v>17</v>
      </c>
      <c r="C19" t="s">
        <v>29</v>
      </c>
      <c r="D19" t="s">
        <v>28</v>
      </c>
      <c r="E19" t="s">
        <v>32</v>
      </c>
      <c r="F19" t="s">
        <v>26</v>
      </c>
      <c r="G19">
        <v>0</v>
      </c>
      <c r="H19">
        <v>0</v>
      </c>
      <c r="I19">
        <v>0</v>
      </c>
    </row>
    <row r="20" spans="1:9" x14ac:dyDescent="0.6">
      <c r="A20" t="s">
        <v>19</v>
      </c>
      <c r="B20" t="s">
        <v>17</v>
      </c>
      <c r="C20" t="s">
        <v>29</v>
      </c>
      <c r="D20" t="s">
        <v>27</v>
      </c>
      <c r="E20" t="s">
        <v>33</v>
      </c>
      <c r="F20" t="s">
        <v>24</v>
      </c>
      <c r="G20">
        <v>0</v>
      </c>
      <c r="H20">
        <v>0</v>
      </c>
      <c r="I20">
        <v>0</v>
      </c>
    </row>
    <row r="21" spans="1:9" x14ac:dyDescent="0.6">
      <c r="A21" t="s">
        <v>19</v>
      </c>
      <c r="B21" t="s">
        <v>17</v>
      </c>
      <c r="C21" t="s">
        <v>29</v>
      </c>
      <c r="D21" t="s">
        <v>27</v>
      </c>
      <c r="E21" t="s">
        <v>33</v>
      </c>
      <c r="F21" t="s">
        <v>25</v>
      </c>
      <c r="G21">
        <v>0</v>
      </c>
      <c r="H21">
        <v>0</v>
      </c>
      <c r="I21">
        <v>0</v>
      </c>
    </row>
    <row r="22" spans="1:9" x14ac:dyDescent="0.6">
      <c r="A22" t="s">
        <v>19</v>
      </c>
      <c r="B22" t="s">
        <v>17</v>
      </c>
      <c r="C22" t="s">
        <v>29</v>
      </c>
      <c r="D22" t="s">
        <v>27</v>
      </c>
      <c r="E22" t="s">
        <v>33</v>
      </c>
      <c r="F22" t="s">
        <v>26</v>
      </c>
      <c r="G22">
        <v>0</v>
      </c>
      <c r="H22">
        <v>0</v>
      </c>
      <c r="I22">
        <v>0</v>
      </c>
    </row>
    <row r="23" spans="1:9" x14ac:dyDescent="0.6">
      <c r="A23" t="s">
        <v>19</v>
      </c>
      <c r="B23" t="s">
        <v>17</v>
      </c>
      <c r="C23" t="s">
        <v>29</v>
      </c>
      <c r="D23" t="s">
        <v>28</v>
      </c>
      <c r="E23" t="s">
        <v>33</v>
      </c>
      <c r="F23" t="s">
        <v>24</v>
      </c>
      <c r="G23">
        <v>0</v>
      </c>
      <c r="H23">
        <v>0</v>
      </c>
      <c r="I23">
        <v>0</v>
      </c>
    </row>
    <row r="24" spans="1:9" x14ac:dyDescent="0.6">
      <c r="A24" t="s">
        <v>19</v>
      </c>
      <c r="B24" t="s">
        <v>17</v>
      </c>
      <c r="C24" t="s">
        <v>29</v>
      </c>
      <c r="D24" t="s">
        <v>28</v>
      </c>
      <c r="E24" t="s">
        <v>33</v>
      </c>
      <c r="F24" t="s">
        <v>25</v>
      </c>
      <c r="G24">
        <v>0</v>
      </c>
      <c r="H24">
        <v>0</v>
      </c>
      <c r="I24">
        <v>1779</v>
      </c>
    </row>
    <row r="25" spans="1:9" x14ac:dyDescent="0.6">
      <c r="A25" t="s">
        <v>19</v>
      </c>
      <c r="B25" t="s">
        <v>17</v>
      </c>
      <c r="C25" t="s">
        <v>29</v>
      </c>
      <c r="D25" t="s">
        <v>28</v>
      </c>
      <c r="E25" t="s">
        <v>33</v>
      </c>
      <c r="F25" t="s">
        <v>26</v>
      </c>
      <c r="G25">
        <v>8432</v>
      </c>
      <c r="H25">
        <v>0</v>
      </c>
      <c r="I25">
        <v>11481</v>
      </c>
    </row>
    <row r="26" spans="1:9" x14ac:dyDescent="0.6">
      <c r="A26" t="s">
        <v>19</v>
      </c>
      <c r="B26" t="s">
        <v>17</v>
      </c>
      <c r="C26" t="s">
        <v>29</v>
      </c>
      <c r="D26" t="s">
        <v>27</v>
      </c>
      <c r="E26" t="s">
        <v>34</v>
      </c>
      <c r="F26" t="s">
        <v>24</v>
      </c>
      <c r="G26">
        <v>0</v>
      </c>
      <c r="H26">
        <v>0</v>
      </c>
      <c r="I26">
        <v>0</v>
      </c>
    </row>
    <row r="27" spans="1:9" x14ac:dyDescent="0.6">
      <c r="A27" t="s">
        <v>19</v>
      </c>
      <c r="B27" t="s">
        <v>17</v>
      </c>
      <c r="C27" t="s">
        <v>29</v>
      </c>
      <c r="D27" t="s">
        <v>27</v>
      </c>
      <c r="E27" t="s">
        <v>34</v>
      </c>
      <c r="F27" t="s">
        <v>25</v>
      </c>
      <c r="G27">
        <v>0</v>
      </c>
      <c r="H27">
        <v>0</v>
      </c>
      <c r="I27">
        <v>0</v>
      </c>
    </row>
    <row r="28" spans="1:9" x14ac:dyDescent="0.6">
      <c r="A28" t="s">
        <v>19</v>
      </c>
      <c r="B28" t="s">
        <v>17</v>
      </c>
      <c r="C28" t="s">
        <v>29</v>
      </c>
      <c r="D28" t="s">
        <v>27</v>
      </c>
      <c r="E28" t="s">
        <v>34</v>
      </c>
      <c r="F28" t="s">
        <v>26</v>
      </c>
      <c r="G28">
        <v>0</v>
      </c>
      <c r="H28">
        <v>0</v>
      </c>
      <c r="I28">
        <v>0</v>
      </c>
    </row>
    <row r="29" spans="1:9" x14ac:dyDescent="0.6">
      <c r="A29" t="s">
        <v>19</v>
      </c>
      <c r="B29" t="s">
        <v>17</v>
      </c>
      <c r="C29" t="s">
        <v>29</v>
      </c>
      <c r="D29" t="s">
        <v>28</v>
      </c>
      <c r="E29" t="s">
        <v>34</v>
      </c>
      <c r="F29" t="s">
        <v>24</v>
      </c>
      <c r="G29">
        <v>0</v>
      </c>
      <c r="H29">
        <v>0</v>
      </c>
      <c r="I29">
        <v>0</v>
      </c>
    </row>
    <row r="30" spans="1:9" x14ac:dyDescent="0.6">
      <c r="A30" t="s">
        <v>19</v>
      </c>
      <c r="B30" t="s">
        <v>17</v>
      </c>
      <c r="C30" t="s">
        <v>29</v>
      </c>
      <c r="D30" t="s">
        <v>28</v>
      </c>
      <c r="E30" t="s">
        <v>34</v>
      </c>
      <c r="F30" t="s">
        <v>25</v>
      </c>
      <c r="G30">
        <v>0</v>
      </c>
      <c r="H30">
        <v>0</v>
      </c>
      <c r="I30">
        <v>0</v>
      </c>
    </row>
    <row r="31" spans="1:9" x14ac:dyDescent="0.6">
      <c r="A31" t="s">
        <v>19</v>
      </c>
      <c r="B31" t="s">
        <v>17</v>
      </c>
      <c r="C31" t="s">
        <v>29</v>
      </c>
      <c r="D31" t="s">
        <v>28</v>
      </c>
      <c r="E31" t="s">
        <v>34</v>
      </c>
      <c r="F31" t="s">
        <v>26</v>
      </c>
      <c r="G31">
        <v>0</v>
      </c>
      <c r="H31">
        <v>0</v>
      </c>
      <c r="I3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Sheet1</vt:lpstr>
      <vt:lpstr>포괄손익계산서</vt:lpstr>
      <vt:lpstr>보험손익</vt:lpstr>
      <vt:lpstr>보험금융비용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조상욱(Sang Wook Cho)</dc:creator>
  <cp:lastModifiedBy>조상욱(Sang Wook Cho)</cp:lastModifiedBy>
  <dcterms:created xsi:type="dcterms:W3CDTF">2026-06-01T12:02:49Z</dcterms:created>
  <dcterms:modified xsi:type="dcterms:W3CDTF">2026-06-02T14:08:01Z</dcterms:modified>
</cp:coreProperties>
</file>