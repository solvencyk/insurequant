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D05FD5EA-A783-4F89-8FA2-125D9B4FC7E1}" xr6:coauthVersionLast="47" xr6:coauthVersionMax="47" xr10:uidLastSave="{00000000-0000-0000-0000-000000000000}"/>
  <bookViews>
    <workbookView xWindow="-98" yWindow="-98" windowWidth="21795" windowHeight="13335" xr2:uid="{3CD259B9-5A78-42E0-B669-107C3DC53255}"/>
  </bookViews>
  <sheets>
    <sheet name="Sheet2" sheetId="2" r:id="rId1"/>
    <sheet name="부문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2" l="1"/>
  <c r="H4" i="2"/>
  <c r="H7" i="2"/>
  <c r="H6" i="2"/>
  <c r="H3" i="2"/>
  <c r="H2" i="2"/>
</calcChain>
</file>

<file path=xl/sharedStrings.xml><?xml version="1.0" encoding="utf-8"?>
<sst xmlns="http://schemas.openxmlformats.org/spreadsheetml/2006/main" count="156" uniqueCount="66">
  <si>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</si>
  <si>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</si>
  <si>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</si>
  <si>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</si>
  <si>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</si>
  <si>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</si>
  <si>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</si>
  <si>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</si>
  <si>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손해보험</t>
  </si>
  <si>
    <t>2025.4Q</t>
    <phoneticPr fontId="2" type="noConversion"/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</si>
  <si>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</si>
  <si>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</si>
  <si>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</si>
  <si>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</si>
  <si>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</si>
  <si>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</si>
  <si>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</si>
  <si>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보험계약부채(자산)의 보험계약 구성요소별 변동분에 대한 차이조정 공시</t>
  </si>
  <si>
    <t>당기</t>
  </si>
  <si>
    <t>보험계약의 세분</t>
  </si>
  <si>
    <t>발행한 보험계약</t>
  </si>
  <si>
    <t>계약의 유형</t>
  </si>
  <si>
    <t>장기보험</t>
  </si>
  <si>
    <t>보험계약</t>
  </si>
  <si>
    <t>보험료배분접근법을 적용한 보험계약 외의 보험계약</t>
  </si>
  <si>
    <t>구성요소별 보험계약</t>
  </si>
  <si>
    <t>구성요소별 보험계약  합계</t>
  </si>
  <si>
    <t>미래 현금흐름의 현재가치 추정치</t>
  </si>
  <si>
    <t>비금융위험에 대한 위험조정</t>
  </si>
  <si>
    <t>기초 보험계약부채(자산)</t>
  </si>
  <si>
    <t>부채인 보험계약의 기초 장부금액</t>
  </si>
  <si>
    <t>자산인 보험계약의 기초 장부금액</t>
  </si>
  <si>
    <t>기말 보험계약부채(자산)</t>
  </si>
  <si>
    <t>부채인 보험계약의 기말 장부금액</t>
  </si>
  <si>
    <t>자산인 보험계약의 기말 장부금액</t>
  </si>
  <si>
    <t>(단위 : 천원)</t>
  </si>
  <si>
    <t>보험계약의 배당유무</t>
  </si>
  <si>
    <t>무배당보험계약</t>
  </si>
  <si>
    <t>유배당보험계약</t>
  </si>
  <si>
    <t>전환일에 존재했던 계약 중 공정가치법을 적용한 계약의 보험계약마진</t>
  </si>
  <si>
    <t>전환일에 존재했던 계약 중 수정소급법을 적용한 계약의 보험계약마진</t>
  </si>
  <si>
    <t>전환일에 존재했던 계약 중 수정소급법이나 공정가치법을 적용하지 아니한 계약의 보험계약마진</t>
  </si>
  <si>
    <t>당기 서비스와 관련된 변동분에 따른 증가분(감소분), 보험계약부채(자산) </t>
  </si>
  <si>
    <t>서비스 이전을 반영하기 위해 당기손익으로 인식한 보험계약마진 금액에 따른 증가분(감소분), 보험계약부채(자산)</t>
  </si>
  <si>
    <t>미래 또는 과거 서비스와 관련 없는 비금융위험에 대한 위험조정의 변동에 따른 증가분(감소분), 보험계약부채(자산)</t>
  </si>
  <si>
    <t>경험조정에 따른 증가분(감소분), 보험계약부채(자산)</t>
  </si>
  <si>
    <t>미래 서비스와 관련된 변동에 따른 증가분(감소분), 보험계약부채(자산) </t>
  </si>
  <si>
    <t>해당 기간에 처음 인식한 계약의 영향에 따른 증가분(감소분), 보험계약부채(자산)</t>
  </si>
  <si>
    <t>보험계약마진을 조정하는 추정치의 변동분에 따른 증가분(감소분), 보험계약부채(자산)</t>
  </si>
  <si>
    <t>보험계약마진을 조정하지 않는 추정치의 변동분에 따른 증가분(감소분), 보험계약부채(자산)</t>
  </si>
  <si>
    <t>과거 서비스와 관련된 변동분에 따른 증가분(감소분), 보험계약부채(자산)</t>
  </si>
  <si>
    <t>보험서비스결과에 따른 총 증가분(감소분), 보험계약부채(자산)</t>
  </si>
  <si>
    <t>보험금융수익(비용)에 따른 증가분(감소분), 보험계약부채(자산) </t>
  </si>
  <si>
    <t>당기손익으로 인식한 발행한 보험계약의 보험금융수익(비용)</t>
  </si>
  <si>
    <t>세전기타포괄손익, 당기손익에서 제외되나 당기손익으로 재분류될 발행한 보험계약의 보험금융수익(비용)</t>
  </si>
  <si>
    <t>총포괄손익에 따른 총 증가분(감소분), 보험계약부채(자산)</t>
  </si>
  <si>
    <t>현금흐름에 따른 증가분(감소분), 보험계약부채(자산) </t>
  </si>
  <si>
    <t>발행한 보험계약에 대해 수취한 보험료에 따른 증가분(감소분), 보험계약부채(자산)</t>
  </si>
  <si>
    <t>보험취득 현금흐름을 제외하고 발행한 보험계약에 대해 지급한 보험금에 따른 증가분(감소분), 보험계약부채(자산)</t>
  </si>
  <si>
    <t>기타 보험서비스비용 현금흐름에 따른 증가분(감소분), 보험계약부채(자산)</t>
  </si>
  <si>
    <t>보험취득 현금흐름에 따른 증가분(감소분), 보험계약부채(자산)</t>
  </si>
  <si>
    <t>기타미결계정 변동 현금흐름에 따른 증가분(감소분), 보험계약부채(자산)</t>
  </si>
  <si>
    <t>현금흐름에 따른 총 증가분(감소분), 재보험계약부채(자산)</t>
  </si>
  <si>
    <t>전기</t>
  </si>
  <si>
    <t>KR0002</t>
    <phoneticPr fontId="2" type="noConversion"/>
  </si>
  <si>
    <t>한화손해보험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</si>
</sst>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3" fontId="1" fillId="0" borderId="7" xfId="0" applyNumberFormat="1" applyFon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J25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0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10" x14ac:dyDescent="0.6">
      <c r="A2" s="2" t="s">
        <v>64</v>
      </c>
      <c r="B2" s="2" t="s">
        <v>65</v>
      </c>
      <c r="C2" s="2"/>
      <c r="D2" s="2" t="s">
        <v>8</v>
      </c>
      <c r="E2" s="2">
        <v>1</v>
      </c>
      <c r="F2" s="2" t="s">
        <v>10</v>
      </c>
      <c r="G2" s="2" t="s">
        <v>9</v>
      </c>
      <c r="H2" s="1">
        <f>SUM(부문별!E17:G17,부문별!K17:M17)/1000</f>
        <v>3803220.7960000001</v>
      </c>
      <c r="J2" s="1"/>
    </row>
    <row r="3" spans="1:10" x14ac:dyDescent="0.6">
      <c r="A3" s="2" t="s">
        <v>64</v>
      </c>
      <c r="B3" s="2" t="s">
        <v>65</v>
      </c>
      <c r="C3" s="2"/>
      <c r="D3" s="2" t="s">
        <v>8</v>
      </c>
      <c r="E3" s="2">
        <v>2</v>
      </c>
      <c r="F3" s="2" t="s">
        <v>11</v>
      </c>
      <c r="G3" s="2" t="s">
        <v>9</v>
      </c>
      <c r="H3" s="1">
        <f>SUM(부문별!E23:G23,부문별!K23:M23)/1000</f>
        <v>1029070.394</v>
      </c>
      <c r="J3" s="1"/>
    </row>
    <row r="4" spans="1:10" x14ac:dyDescent="0.6">
      <c r="A4" s="2" t="s">
        <v>64</v>
      </c>
      <c r="B4" s="2" t="s">
        <v>65</v>
      </c>
      <c r="C4" s="2"/>
      <c r="D4" s="2" t="s">
        <v>8</v>
      </c>
      <c r="E4">
        <v>3</v>
      </c>
      <c r="F4" s="2" t="s">
        <v>12</v>
      </c>
      <c r="G4" t="s">
        <v>9</v>
      </c>
      <c r="H4" s="1">
        <f>SUM(부문별!E29:G30,부문별!K29:M30)/1000</f>
        <v>157692.45199999999</v>
      </c>
      <c r="J4" s="1"/>
    </row>
    <row r="5" spans="1:10" x14ac:dyDescent="0.6">
      <c r="A5" s="2" t="s">
        <v>64</v>
      </c>
      <c r="B5" s="2" t="s">
        <v>65</v>
      </c>
      <c r="C5" s="2"/>
      <c r="D5" s="2" t="s">
        <v>8</v>
      </c>
      <c r="E5" s="2">
        <v>4</v>
      </c>
      <c r="F5" s="2" t="s">
        <v>16</v>
      </c>
      <c r="G5" t="s">
        <v>9</v>
      </c>
      <c r="H5" s="1">
        <f>H7-H6-SUM(H2:H4)</f>
        <v>-497548.57600000035</v>
      </c>
      <c r="J5" s="1"/>
    </row>
    <row r="6" spans="1:10" x14ac:dyDescent="0.6">
      <c r="A6" s="2" t="s">
        <v>64</v>
      </c>
      <c r="B6" s="2" t="s">
        <v>65</v>
      </c>
      <c r="C6" s="2"/>
      <c r="D6" s="2" t="s">
        <v>8</v>
      </c>
      <c r="E6" s="2">
        <v>5</v>
      </c>
      <c r="F6" s="2" t="s">
        <v>13</v>
      </c>
      <c r="G6" t="s">
        <v>9</v>
      </c>
      <c r="H6" s="1">
        <f>SUM(부문별!E19:G19,부문별!K19:M19)/1000</f>
        <v>-423053.364</v>
      </c>
      <c r="J6" s="1"/>
    </row>
    <row r="7" spans="1:10" x14ac:dyDescent="0.6">
      <c r="A7" s="2" t="s">
        <v>64</v>
      </c>
      <c r="B7" s="2" t="s">
        <v>65</v>
      </c>
      <c r="C7" s="2"/>
      <c r="D7" s="2" t="s">
        <v>8</v>
      </c>
      <c r="E7" s="2">
        <v>6</v>
      </c>
      <c r="F7" s="2" t="s">
        <v>14</v>
      </c>
      <c r="G7" t="s">
        <v>9</v>
      </c>
      <c r="H7" s="1">
        <f>SUM(부문별!E41:G41,부문별!K41:M41)/1000</f>
        <v>4069381.702</v>
      </c>
      <c r="J7" s="1"/>
    </row>
    <row r="8" spans="1:10" x14ac:dyDescent="0.6">
      <c r="A8" s="2"/>
      <c r="B8" s="2"/>
      <c r="C8" s="2"/>
      <c r="D8" s="2"/>
      <c r="H8" s="1"/>
    </row>
    <row r="9" spans="1:10" x14ac:dyDescent="0.6">
      <c r="A9" s="2"/>
      <c r="B9" s="2"/>
      <c r="C9" s="2"/>
      <c r="D9" s="2"/>
      <c r="H9" s="1"/>
    </row>
    <row r="10" spans="1:10" x14ac:dyDescent="0.6">
      <c r="A10" s="2"/>
      <c r="B10" s="2"/>
      <c r="C10" s="2"/>
      <c r="D10" s="2"/>
      <c r="H10" s="1"/>
    </row>
    <row r="11" spans="1:10" x14ac:dyDescent="0.6">
      <c r="A11" s="2"/>
      <c r="B11" s="2"/>
      <c r="C11" s="2"/>
      <c r="D11" s="2"/>
      <c r="H11" s="1"/>
    </row>
    <row r="12" spans="1:10" x14ac:dyDescent="0.6">
      <c r="A12" s="2"/>
      <c r="B12" s="2"/>
      <c r="C12" s="2"/>
      <c r="D12" s="2"/>
      <c r="H12" s="1"/>
    </row>
    <row r="13" spans="1:10" x14ac:dyDescent="0.6">
      <c r="A13" s="2"/>
      <c r="B13" s="2"/>
      <c r="C13" s="2"/>
      <c r="D13" s="2"/>
      <c r="H13" s="1"/>
    </row>
    <row r="14" spans="1:10" x14ac:dyDescent="0.6">
      <c r="A14" s="2"/>
      <c r="B14" s="2"/>
      <c r="C14" s="2"/>
      <c r="D14" s="2"/>
      <c r="H14" s="1"/>
    </row>
    <row r="15" spans="1:10" x14ac:dyDescent="0.6">
      <c r="A15" s="2"/>
      <c r="B15" s="2"/>
      <c r="C15" s="2"/>
      <c r="D15" s="2"/>
      <c r="H15" s="1"/>
    </row>
    <row r="16" spans="1:10" x14ac:dyDescent="0.6">
      <c r="A16" s="2"/>
      <c r="B16" s="2"/>
      <c r="C16" s="2"/>
      <c r="D16" s="2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5" spans="1:8" x14ac:dyDescent="0.6">
      <c r="H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N82"/>
  <sheetViews>
    <sheetView topLeftCell="A24" zoomScale="50" zoomScaleNormal="50" workbookViewId="0">
      <selection activeCell="E29" sqref="E29:G30"/>
    </sheetView>
  </sheetViews>
  <sheetFormatPr defaultRowHeight="16.899999999999999" x14ac:dyDescent="0.6"/>
  <cols>
    <col min="1" max="1" width="9.6875" bestFit="1" customWidth="1"/>
    <col min="2" max="2" width="9.0625" bestFit="1" customWidth="1"/>
    <col min="3" max="3" width="29.375" bestFit="1" customWidth="1"/>
    <col min="4" max="4" width="24.9375" bestFit="1" customWidth="1"/>
    <col min="5" max="7" width="13.8125" bestFit="1" customWidth="1"/>
    <col min="8" max="8" width="24" bestFit="1" customWidth="1"/>
    <col min="9" max="9" width="29.375" bestFit="1" customWidth="1"/>
    <col min="10" max="10" width="24.9375" bestFit="1" customWidth="1"/>
    <col min="11" max="11" width="11" bestFit="1" customWidth="1"/>
    <col min="12" max="13" width="9.8125" bestFit="1" customWidth="1"/>
    <col min="14" max="14" width="24" bestFit="1" customWidth="1"/>
  </cols>
  <sheetData>
    <row r="1" spans="1:14" ht="108" x14ac:dyDescent="0.6">
      <c r="A1" s="7" t="s">
        <v>17</v>
      </c>
    </row>
    <row r="2" spans="1:14" ht="54" customHeight="1" x14ac:dyDescent="0.6">
      <c r="A2" s="25" t="s">
        <v>17</v>
      </c>
      <c r="B2" s="25"/>
    </row>
    <row r="3" spans="1:14" ht="27" x14ac:dyDescent="0.6">
      <c r="A3" s="7" t="s">
        <v>18</v>
      </c>
      <c r="B3" s="8" t="s">
        <v>35</v>
      </c>
    </row>
    <row r="4" spans="1:14" x14ac:dyDescent="0.6">
      <c r="A4" s="11"/>
      <c r="B4" s="12"/>
      <c r="C4" s="26" t="s">
        <v>19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8"/>
    </row>
    <row r="5" spans="1:14" x14ac:dyDescent="0.6">
      <c r="A5" s="13"/>
      <c r="B5" s="9"/>
      <c r="C5" s="20" t="s">
        <v>20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9"/>
    </row>
    <row r="6" spans="1:14" x14ac:dyDescent="0.6">
      <c r="A6" s="13"/>
      <c r="B6" s="9"/>
      <c r="C6" s="20" t="s">
        <v>23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9"/>
    </row>
    <row r="7" spans="1:14" x14ac:dyDescent="0.6">
      <c r="A7" s="13"/>
      <c r="B7" s="9"/>
      <c r="C7" s="20" t="s">
        <v>24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9"/>
    </row>
    <row r="8" spans="1:14" x14ac:dyDescent="0.6">
      <c r="A8" s="13"/>
      <c r="B8" s="9"/>
      <c r="C8" s="20" t="s">
        <v>36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9"/>
    </row>
    <row r="9" spans="1:14" x14ac:dyDescent="0.6">
      <c r="A9" s="13"/>
      <c r="B9" s="9"/>
      <c r="C9" s="20" t="s">
        <v>37</v>
      </c>
      <c r="D9" s="21"/>
      <c r="E9" s="21"/>
      <c r="F9" s="21"/>
      <c r="G9" s="21"/>
      <c r="H9" s="22"/>
      <c r="I9" s="20" t="s">
        <v>38</v>
      </c>
      <c r="J9" s="21"/>
      <c r="K9" s="21"/>
      <c r="L9" s="21"/>
      <c r="M9" s="21"/>
      <c r="N9" s="29"/>
    </row>
    <row r="10" spans="1:14" x14ac:dyDescent="0.6">
      <c r="A10" s="13"/>
      <c r="B10" s="9"/>
      <c r="C10" s="20" t="s">
        <v>21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9"/>
    </row>
    <row r="11" spans="1:14" x14ac:dyDescent="0.6">
      <c r="A11" s="13"/>
      <c r="B11" s="9"/>
      <c r="C11" s="20" t="s">
        <v>22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9"/>
    </row>
    <row r="12" spans="1:14" x14ac:dyDescent="0.6">
      <c r="A12" s="13"/>
      <c r="B12" s="9"/>
      <c r="C12" s="20" t="s">
        <v>25</v>
      </c>
      <c r="D12" s="21"/>
      <c r="E12" s="21"/>
      <c r="F12" s="21"/>
      <c r="G12" s="22"/>
      <c r="H12" s="30" t="s">
        <v>26</v>
      </c>
      <c r="I12" s="20" t="s">
        <v>25</v>
      </c>
      <c r="J12" s="21"/>
      <c r="K12" s="21"/>
      <c r="L12" s="21"/>
      <c r="M12" s="22"/>
      <c r="N12" s="23" t="s">
        <v>26</v>
      </c>
    </row>
    <row r="13" spans="1:14" x14ac:dyDescent="0.6">
      <c r="A13" s="13"/>
      <c r="B13" s="9"/>
      <c r="C13" s="30" t="s">
        <v>27</v>
      </c>
      <c r="D13" s="30" t="s">
        <v>28</v>
      </c>
      <c r="E13" s="20" t="s">
        <v>15</v>
      </c>
      <c r="F13" s="21"/>
      <c r="G13" s="22"/>
      <c r="H13" s="32"/>
      <c r="I13" s="30" t="s">
        <v>27</v>
      </c>
      <c r="J13" s="30" t="s">
        <v>28</v>
      </c>
      <c r="K13" s="20" t="s">
        <v>15</v>
      </c>
      <c r="L13" s="21"/>
      <c r="M13" s="22"/>
      <c r="N13" s="33"/>
    </row>
    <row r="14" spans="1:14" ht="148.5" x14ac:dyDescent="0.6">
      <c r="A14" s="13"/>
      <c r="B14" s="9"/>
      <c r="C14" s="31"/>
      <c r="D14" s="31"/>
      <c r="E14" s="9" t="s">
        <v>39</v>
      </c>
      <c r="F14" s="9" t="s">
        <v>40</v>
      </c>
      <c r="G14" s="9" t="s">
        <v>41</v>
      </c>
      <c r="H14" s="31"/>
      <c r="I14" s="31"/>
      <c r="J14" s="31"/>
      <c r="K14" s="9" t="s">
        <v>39</v>
      </c>
      <c r="L14" s="9" t="s">
        <v>40</v>
      </c>
      <c r="M14" s="9" t="s">
        <v>41</v>
      </c>
      <c r="N14" s="24"/>
    </row>
    <row r="15" spans="1:14" ht="27" customHeight="1" x14ac:dyDescent="0.6">
      <c r="A15" s="14" t="s">
        <v>31</v>
      </c>
      <c r="B15" s="15"/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5">
        <v>0</v>
      </c>
    </row>
    <row r="16" spans="1:14" ht="27" customHeight="1" x14ac:dyDescent="0.6">
      <c r="A16" s="14" t="s">
        <v>30</v>
      </c>
      <c r="B16" s="15"/>
      <c r="C16" s="4">
        <v>8447737556</v>
      </c>
      <c r="D16" s="4">
        <v>934215855</v>
      </c>
      <c r="E16" s="4">
        <v>1308133201</v>
      </c>
      <c r="F16" s="4">
        <v>1096814041</v>
      </c>
      <c r="G16" s="4">
        <v>1380896470</v>
      </c>
      <c r="H16" s="4">
        <v>13167797123</v>
      </c>
      <c r="I16" s="4">
        <v>868967220</v>
      </c>
      <c r="J16" s="4">
        <v>2082490</v>
      </c>
      <c r="K16" s="4">
        <v>8279279</v>
      </c>
      <c r="L16" s="4">
        <v>5993066</v>
      </c>
      <c r="M16" s="4">
        <v>3104739</v>
      </c>
      <c r="N16" s="6">
        <v>888426794</v>
      </c>
    </row>
    <row r="17" spans="1:14" ht="27" customHeight="1" x14ac:dyDescent="0.6">
      <c r="A17" s="14" t="s">
        <v>29</v>
      </c>
      <c r="B17" s="15"/>
      <c r="C17" s="4">
        <v>8447737556</v>
      </c>
      <c r="D17" s="4">
        <v>934215855</v>
      </c>
      <c r="E17" s="4">
        <v>1308133201</v>
      </c>
      <c r="F17" s="4">
        <v>1096814041</v>
      </c>
      <c r="G17" s="4">
        <v>1380896470</v>
      </c>
      <c r="H17" s="4">
        <v>13167797123</v>
      </c>
      <c r="I17" s="4">
        <v>868967220</v>
      </c>
      <c r="J17" s="4">
        <v>2082490</v>
      </c>
      <c r="K17" s="4">
        <v>8279279</v>
      </c>
      <c r="L17" s="4">
        <v>5993066</v>
      </c>
      <c r="M17" s="4">
        <v>3104739</v>
      </c>
      <c r="N17" s="6">
        <v>888426794</v>
      </c>
    </row>
    <row r="18" spans="1:14" ht="54" customHeight="1" x14ac:dyDescent="0.6">
      <c r="A18" s="14" t="s">
        <v>42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34"/>
    </row>
    <row r="19" spans="1:14" ht="162" x14ac:dyDescent="0.6">
      <c r="A19" s="16" t="s">
        <v>42</v>
      </c>
      <c r="B19" s="10" t="s">
        <v>43</v>
      </c>
      <c r="C19" s="3">
        <v>0</v>
      </c>
      <c r="D19" s="3">
        <v>0</v>
      </c>
      <c r="E19" s="4">
        <v>-121492654</v>
      </c>
      <c r="F19" s="4">
        <v>-104535040</v>
      </c>
      <c r="G19" s="4">
        <v>-195330086</v>
      </c>
      <c r="H19" s="4">
        <v>-421357780</v>
      </c>
      <c r="I19" s="3">
        <v>0</v>
      </c>
      <c r="J19" s="3">
        <v>0</v>
      </c>
      <c r="K19" s="4">
        <v>-1215748</v>
      </c>
      <c r="L19" s="4">
        <v>-368147</v>
      </c>
      <c r="M19" s="4">
        <v>-111689</v>
      </c>
      <c r="N19" s="6">
        <v>-1695584</v>
      </c>
    </row>
    <row r="20" spans="1:14" ht="162" x14ac:dyDescent="0.6">
      <c r="A20" s="18"/>
      <c r="B20" s="10" t="s">
        <v>44</v>
      </c>
      <c r="C20" s="3">
        <v>0</v>
      </c>
      <c r="D20" s="4">
        <v>-41850053</v>
      </c>
      <c r="E20" s="3">
        <v>0</v>
      </c>
      <c r="F20" s="3">
        <v>0</v>
      </c>
      <c r="G20" s="3">
        <v>0</v>
      </c>
      <c r="H20" s="4">
        <v>-41850053</v>
      </c>
      <c r="I20" s="3">
        <v>0</v>
      </c>
      <c r="J20" s="4">
        <v>-206099</v>
      </c>
      <c r="K20" s="3">
        <v>0</v>
      </c>
      <c r="L20" s="3">
        <v>0</v>
      </c>
      <c r="M20" s="3">
        <v>0</v>
      </c>
      <c r="N20" s="6">
        <v>-206099</v>
      </c>
    </row>
    <row r="21" spans="1:14" ht="81" x14ac:dyDescent="0.6">
      <c r="A21" s="19"/>
      <c r="B21" s="10" t="s">
        <v>45</v>
      </c>
      <c r="C21" s="4">
        <v>102886053</v>
      </c>
      <c r="D21" s="3">
        <v>0</v>
      </c>
      <c r="E21" s="3">
        <v>0</v>
      </c>
      <c r="F21" s="3">
        <v>0</v>
      </c>
      <c r="G21" s="3">
        <v>0</v>
      </c>
      <c r="H21" s="4">
        <v>102886053</v>
      </c>
      <c r="I21" s="4">
        <v>140053</v>
      </c>
      <c r="J21" s="3">
        <v>0</v>
      </c>
      <c r="K21" s="3">
        <v>0</v>
      </c>
      <c r="L21" s="3">
        <v>0</v>
      </c>
      <c r="M21" s="3">
        <v>0</v>
      </c>
      <c r="N21" s="6">
        <v>140053</v>
      </c>
    </row>
    <row r="22" spans="1:14" ht="54" customHeight="1" x14ac:dyDescent="0.6">
      <c r="A22" s="14" t="s">
        <v>46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34"/>
    </row>
    <row r="23" spans="1:14" ht="121.5" x14ac:dyDescent="0.6">
      <c r="A23" s="16" t="s">
        <v>46</v>
      </c>
      <c r="B23" s="10" t="s">
        <v>47</v>
      </c>
      <c r="C23" s="4">
        <v>-1164154123</v>
      </c>
      <c r="D23" s="4">
        <v>159497249</v>
      </c>
      <c r="E23" s="3">
        <v>0</v>
      </c>
      <c r="F23" s="3">
        <v>0</v>
      </c>
      <c r="G23" s="4">
        <v>1028528034</v>
      </c>
      <c r="H23" s="4">
        <v>23871160</v>
      </c>
      <c r="I23" s="4">
        <v>-572403</v>
      </c>
      <c r="J23" s="4">
        <v>38207</v>
      </c>
      <c r="K23" s="3">
        <v>0</v>
      </c>
      <c r="L23" s="3">
        <v>0</v>
      </c>
      <c r="M23" s="4">
        <v>542360</v>
      </c>
      <c r="N23" s="6">
        <v>8164</v>
      </c>
    </row>
    <row r="24" spans="1:14" ht="135" x14ac:dyDescent="0.6">
      <c r="A24" s="18"/>
      <c r="B24" s="10" t="s">
        <v>48</v>
      </c>
      <c r="C24" s="4">
        <v>530606614</v>
      </c>
      <c r="D24" s="4">
        <v>-30157819</v>
      </c>
      <c r="E24" s="4">
        <v>-71576507</v>
      </c>
      <c r="F24" s="4">
        <v>-39770824</v>
      </c>
      <c r="G24" s="4">
        <v>-389101464</v>
      </c>
      <c r="H24" s="3">
        <v>0</v>
      </c>
      <c r="I24" s="4">
        <v>-3629917</v>
      </c>
      <c r="J24" s="4">
        <v>729697</v>
      </c>
      <c r="K24" s="4">
        <v>2961238</v>
      </c>
      <c r="L24" s="4">
        <v>-21631</v>
      </c>
      <c r="M24" s="4">
        <v>-39387</v>
      </c>
      <c r="N24" s="5">
        <v>0</v>
      </c>
    </row>
    <row r="25" spans="1:14" ht="135" x14ac:dyDescent="0.6">
      <c r="A25" s="19"/>
      <c r="B25" s="10" t="s">
        <v>49</v>
      </c>
      <c r="C25" s="4">
        <v>-51938743</v>
      </c>
      <c r="D25" s="4">
        <v>-5272817</v>
      </c>
      <c r="E25" s="3">
        <v>0</v>
      </c>
      <c r="F25" s="3">
        <v>0</v>
      </c>
      <c r="G25" s="3">
        <v>0</v>
      </c>
      <c r="H25" s="4">
        <v>-57211560</v>
      </c>
      <c r="I25" s="4">
        <v>755984</v>
      </c>
      <c r="J25" s="4">
        <v>1790</v>
      </c>
      <c r="K25" s="3">
        <v>0</v>
      </c>
      <c r="L25" s="3">
        <v>0</v>
      </c>
      <c r="M25" s="3">
        <v>0</v>
      </c>
      <c r="N25" s="6">
        <v>757773</v>
      </c>
    </row>
    <row r="26" spans="1:14" ht="54" customHeight="1" x14ac:dyDescent="0.6">
      <c r="A26" s="14" t="s">
        <v>50</v>
      </c>
      <c r="B26" s="15"/>
      <c r="C26" s="4">
        <v>15827161</v>
      </c>
      <c r="D26" s="4">
        <v>-38284945</v>
      </c>
      <c r="E26" s="3">
        <v>0</v>
      </c>
      <c r="F26" s="3">
        <v>0</v>
      </c>
      <c r="G26" s="3">
        <v>0</v>
      </c>
      <c r="H26" s="4">
        <v>-22457784</v>
      </c>
      <c r="I26" s="4">
        <v>29644</v>
      </c>
      <c r="J26" s="4">
        <v>-4549</v>
      </c>
      <c r="K26" s="3">
        <v>0</v>
      </c>
      <c r="L26" s="3">
        <v>0</v>
      </c>
      <c r="M26" s="3">
        <v>0</v>
      </c>
      <c r="N26" s="6">
        <v>25095</v>
      </c>
    </row>
    <row r="27" spans="1:14" ht="54" customHeight="1" x14ac:dyDescent="0.6">
      <c r="A27" s="14" t="s">
        <v>51</v>
      </c>
      <c r="B27" s="15"/>
      <c r="C27" s="4">
        <v>-566773038</v>
      </c>
      <c r="D27" s="4">
        <v>43931615</v>
      </c>
      <c r="E27" s="4">
        <v>-193069161</v>
      </c>
      <c r="F27" s="4">
        <v>-144305864</v>
      </c>
      <c r="G27" s="4">
        <v>444096484</v>
      </c>
      <c r="H27" s="4">
        <v>-416119964</v>
      </c>
      <c r="I27" s="4">
        <v>-3276639</v>
      </c>
      <c r="J27" s="4">
        <v>559046</v>
      </c>
      <c r="K27" s="4">
        <v>1745490</v>
      </c>
      <c r="L27" s="4">
        <v>-389778</v>
      </c>
      <c r="M27" s="4">
        <v>391284</v>
      </c>
      <c r="N27" s="6">
        <v>-970597</v>
      </c>
    </row>
    <row r="28" spans="1:14" ht="54" customHeight="1" x14ac:dyDescent="0.6">
      <c r="A28" s="14" t="s">
        <v>52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34"/>
    </row>
    <row r="29" spans="1:14" ht="94.5" x14ac:dyDescent="0.6">
      <c r="A29" s="16" t="s">
        <v>52</v>
      </c>
      <c r="B29" s="10" t="s">
        <v>53</v>
      </c>
      <c r="C29" s="4">
        <v>237446281</v>
      </c>
      <c r="D29" s="3">
        <v>0</v>
      </c>
      <c r="E29" s="4">
        <v>43736036</v>
      </c>
      <c r="F29" s="4">
        <v>39723982</v>
      </c>
      <c r="G29" s="4">
        <v>73683151</v>
      </c>
      <c r="H29" s="4">
        <v>394589450</v>
      </c>
      <c r="I29" s="4">
        <v>24550281</v>
      </c>
      <c r="J29" s="3">
        <v>0</v>
      </c>
      <c r="K29" s="4">
        <v>226325</v>
      </c>
      <c r="L29" s="4">
        <v>180675</v>
      </c>
      <c r="M29" s="4">
        <v>142283</v>
      </c>
      <c r="N29" s="6">
        <v>25099564</v>
      </c>
    </row>
    <row r="30" spans="1:14" ht="162" x14ac:dyDescent="0.6">
      <c r="A30" s="19"/>
      <c r="B30" s="10" t="s">
        <v>54</v>
      </c>
      <c r="C30" s="4">
        <v>-644843108</v>
      </c>
      <c r="D30" s="3">
        <v>0</v>
      </c>
      <c r="E30" s="3">
        <v>0</v>
      </c>
      <c r="F30" s="3">
        <v>0</v>
      </c>
      <c r="G30" s="3">
        <v>0</v>
      </c>
      <c r="H30" s="4">
        <v>-644843108</v>
      </c>
      <c r="I30" s="4">
        <v>-34332676</v>
      </c>
      <c r="J30" s="3">
        <v>0</v>
      </c>
      <c r="K30" s="3">
        <v>0</v>
      </c>
      <c r="L30" s="3">
        <v>0</v>
      </c>
      <c r="M30" s="3">
        <v>0</v>
      </c>
      <c r="N30" s="6">
        <v>-34332676</v>
      </c>
    </row>
    <row r="31" spans="1:14" ht="40.5" customHeight="1" x14ac:dyDescent="0.6">
      <c r="A31" s="14" t="s">
        <v>55</v>
      </c>
      <c r="B31" s="15"/>
      <c r="C31" s="4">
        <v>-974169865</v>
      </c>
      <c r="D31" s="4">
        <v>43931615</v>
      </c>
      <c r="E31" s="4">
        <v>-149333125</v>
      </c>
      <c r="F31" s="4">
        <v>-104581882</v>
      </c>
      <c r="G31" s="4">
        <v>517779635</v>
      </c>
      <c r="H31" s="4">
        <v>-666373622</v>
      </c>
      <c r="I31" s="4">
        <v>-13059034</v>
      </c>
      <c r="J31" s="4">
        <v>559046</v>
      </c>
      <c r="K31" s="4">
        <v>1971815</v>
      </c>
      <c r="L31" s="4">
        <v>-209103</v>
      </c>
      <c r="M31" s="4">
        <v>533567</v>
      </c>
      <c r="N31" s="6">
        <v>-10203709</v>
      </c>
    </row>
    <row r="32" spans="1:14" ht="40.5" customHeight="1" x14ac:dyDescent="0.6">
      <c r="A32" s="14" t="s">
        <v>56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34"/>
    </row>
    <row r="33" spans="1:14" ht="121.5" x14ac:dyDescent="0.6">
      <c r="A33" s="16" t="s">
        <v>56</v>
      </c>
      <c r="B33" s="10" t="s">
        <v>57</v>
      </c>
      <c r="C33" s="4">
        <v>5830248693</v>
      </c>
      <c r="D33" s="3">
        <v>0</v>
      </c>
      <c r="E33" s="3">
        <v>0</v>
      </c>
      <c r="F33" s="3">
        <v>0</v>
      </c>
      <c r="G33" s="3">
        <v>0</v>
      </c>
      <c r="H33" s="4">
        <v>5830248693</v>
      </c>
      <c r="I33" s="4">
        <v>27206383</v>
      </c>
      <c r="J33" s="3">
        <v>0</v>
      </c>
      <c r="K33" s="3">
        <v>0</v>
      </c>
      <c r="L33" s="3">
        <v>0</v>
      </c>
      <c r="M33" s="3">
        <v>0</v>
      </c>
      <c r="N33" s="6">
        <v>27206383</v>
      </c>
    </row>
    <row r="34" spans="1:14" ht="175.5" x14ac:dyDescent="0.6">
      <c r="A34" s="18"/>
      <c r="B34" s="10" t="s">
        <v>58</v>
      </c>
      <c r="C34" s="4">
        <v>-3868933448</v>
      </c>
      <c r="D34" s="3">
        <v>0</v>
      </c>
      <c r="E34" s="3">
        <v>0</v>
      </c>
      <c r="F34" s="3">
        <v>0</v>
      </c>
      <c r="G34" s="3">
        <v>0</v>
      </c>
      <c r="H34" s="4">
        <v>-3868933448</v>
      </c>
      <c r="I34" s="4">
        <v>-78144982</v>
      </c>
      <c r="J34" s="3">
        <v>0</v>
      </c>
      <c r="K34" s="3">
        <v>0</v>
      </c>
      <c r="L34" s="3">
        <v>0</v>
      </c>
      <c r="M34" s="3">
        <v>0</v>
      </c>
      <c r="N34" s="6">
        <v>-78144982</v>
      </c>
    </row>
    <row r="35" spans="1:14" ht="108" x14ac:dyDescent="0.6">
      <c r="A35" s="18"/>
      <c r="B35" s="10" t="s">
        <v>59</v>
      </c>
      <c r="C35" s="4">
        <v>-310854878</v>
      </c>
      <c r="D35" s="3">
        <v>0</v>
      </c>
      <c r="E35" s="3">
        <v>0</v>
      </c>
      <c r="F35" s="3">
        <v>0</v>
      </c>
      <c r="G35" s="3">
        <v>0</v>
      </c>
      <c r="H35" s="4">
        <v>-310854878</v>
      </c>
      <c r="I35" s="4">
        <v>-3511979</v>
      </c>
      <c r="J35" s="3">
        <v>0</v>
      </c>
      <c r="K35" s="3">
        <v>0</v>
      </c>
      <c r="L35" s="3">
        <v>0</v>
      </c>
      <c r="M35" s="3">
        <v>0</v>
      </c>
      <c r="N35" s="6">
        <v>-3511979</v>
      </c>
    </row>
    <row r="36" spans="1:14" ht="94.5" x14ac:dyDescent="0.6">
      <c r="A36" s="18"/>
      <c r="B36" s="10" t="s">
        <v>60</v>
      </c>
      <c r="C36" s="4">
        <v>-1359779412</v>
      </c>
      <c r="D36" s="3">
        <v>0</v>
      </c>
      <c r="E36" s="3">
        <v>0</v>
      </c>
      <c r="F36" s="3">
        <v>0</v>
      </c>
      <c r="G36" s="3">
        <v>0</v>
      </c>
      <c r="H36" s="4">
        <v>-1359779412</v>
      </c>
      <c r="I36" s="4">
        <v>-180851</v>
      </c>
      <c r="J36" s="3">
        <v>0</v>
      </c>
      <c r="K36" s="3">
        <v>0</v>
      </c>
      <c r="L36" s="3">
        <v>0</v>
      </c>
      <c r="M36" s="3">
        <v>0</v>
      </c>
      <c r="N36" s="6">
        <v>-180851</v>
      </c>
    </row>
    <row r="37" spans="1:14" ht="108" x14ac:dyDescent="0.6">
      <c r="A37" s="18"/>
      <c r="B37" s="10" t="s">
        <v>61</v>
      </c>
      <c r="C37" s="4">
        <v>29320241</v>
      </c>
      <c r="D37" s="3">
        <v>0</v>
      </c>
      <c r="E37" s="3">
        <v>0</v>
      </c>
      <c r="F37" s="3">
        <v>0</v>
      </c>
      <c r="G37" s="3">
        <v>0</v>
      </c>
      <c r="H37" s="4">
        <v>29320241</v>
      </c>
      <c r="I37" s="4">
        <v>-726991</v>
      </c>
      <c r="J37" s="3">
        <v>0</v>
      </c>
      <c r="K37" s="3">
        <v>0</v>
      </c>
      <c r="L37" s="3">
        <v>0</v>
      </c>
      <c r="M37" s="3">
        <v>0</v>
      </c>
      <c r="N37" s="6">
        <v>-726991</v>
      </c>
    </row>
    <row r="38" spans="1:14" ht="94.5" x14ac:dyDescent="0.6">
      <c r="A38" s="19"/>
      <c r="B38" s="10" t="s">
        <v>62</v>
      </c>
      <c r="C38" s="4">
        <v>320001196</v>
      </c>
      <c r="D38" s="3">
        <v>0</v>
      </c>
      <c r="E38" s="3">
        <v>0</v>
      </c>
      <c r="F38" s="3">
        <v>0</v>
      </c>
      <c r="G38" s="3">
        <v>0</v>
      </c>
      <c r="H38" s="4">
        <v>320001196</v>
      </c>
      <c r="I38" s="4">
        <v>-55358420</v>
      </c>
      <c r="J38" s="3">
        <v>0</v>
      </c>
      <c r="K38" s="3">
        <v>0</v>
      </c>
      <c r="L38" s="3">
        <v>0</v>
      </c>
      <c r="M38" s="3">
        <v>0</v>
      </c>
      <c r="N38" s="6">
        <v>-55358420</v>
      </c>
    </row>
    <row r="39" spans="1:14" ht="27" customHeight="1" x14ac:dyDescent="0.6">
      <c r="A39" s="14" t="s">
        <v>34</v>
      </c>
      <c r="B39" s="15"/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5">
        <v>0</v>
      </c>
    </row>
    <row r="40" spans="1:14" ht="27" customHeight="1" x14ac:dyDescent="0.6">
      <c r="A40" s="14" t="s">
        <v>33</v>
      </c>
      <c r="B40" s="15"/>
      <c r="C40" s="4">
        <v>7793568887</v>
      </c>
      <c r="D40" s="4">
        <v>978147470</v>
      </c>
      <c r="E40" s="4">
        <v>1158800076</v>
      </c>
      <c r="F40" s="4">
        <v>992232159</v>
      </c>
      <c r="G40" s="4">
        <v>1898676105</v>
      </c>
      <c r="H40" s="4">
        <v>12821424697</v>
      </c>
      <c r="I40" s="4">
        <v>800549766</v>
      </c>
      <c r="J40" s="4">
        <v>2641537</v>
      </c>
      <c r="K40" s="4">
        <v>10251094</v>
      </c>
      <c r="L40" s="4">
        <v>5783963</v>
      </c>
      <c r="M40" s="4">
        <v>3638305</v>
      </c>
      <c r="N40" s="6">
        <v>822864665</v>
      </c>
    </row>
    <row r="41" spans="1:14" ht="27" customHeight="1" x14ac:dyDescent="0.6">
      <c r="A41" s="35" t="s">
        <v>32</v>
      </c>
      <c r="B41" s="17"/>
      <c r="C41" s="36">
        <v>7793568887</v>
      </c>
      <c r="D41" s="36">
        <v>978147470</v>
      </c>
      <c r="E41" s="36">
        <v>1158800076</v>
      </c>
      <c r="F41" s="36">
        <v>992232159</v>
      </c>
      <c r="G41" s="36">
        <v>1898676105</v>
      </c>
      <c r="H41" s="36">
        <v>12821424697</v>
      </c>
      <c r="I41" s="36">
        <v>800549766</v>
      </c>
      <c r="J41" s="36">
        <v>2641537</v>
      </c>
      <c r="K41" s="36">
        <v>10251094</v>
      </c>
      <c r="L41" s="36">
        <v>5783963</v>
      </c>
      <c r="M41" s="36">
        <v>3638305</v>
      </c>
      <c r="N41" s="37">
        <v>822864665</v>
      </c>
    </row>
    <row r="42" spans="1:14" x14ac:dyDescent="0.6">
      <c r="A42" s="7"/>
    </row>
    <row r="43" spans="1:14" ht="27" x14ac:dyDescent="0.6">
      <c r="A43" s="7" t="s">
        <v>63</v>
      </c>
      <c r="B43" s="8" t="s">
        <v>35</v>
      </c>
    </row>
    <row r="44" spans="1:14" x14ac:dyDescent="0.6">
      <c r="A44" s="11"/>
      <c r="B44" s="12"/>
      <c r="C44" s="26" t="s">
        <v>19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8"/>
    </row>
    <row r="45" spans="1:14" x14ac:dyDescent="0.6">
      <c r="A45" s="13"/>
      <c r="B45" s="9"/>
      <c r="C45" s="20" t="s">
        <v>20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9"/>
    </row>
    <row r="46" spans="1:14" x14ac:dyDescent="0.6">
      <c r="A46" s="13"/>
      <c r="B46" s="9"/>
      <c r="C46" s="20" t="s">
        <v>23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9"/>
    </row>
    <row r="47" spans="1:14" x14ac:dyDescent="0.6">
      <c r="A47" s="13"/>
      <c r="B47" s="9"/>
      <c r="C47" s="20" t="s">
        <v>24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9"/>
    </row>
    <row r="48" spans="1:14" x14ac:dyDescent="0.6">
      <c r="A48" s="13"/>
      <c r="B48" s="9"/>
      <c r="C48" s="20" t="s">
        <v>36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9"/>
    </row>
    <row r="49" spans="1:14" x14ac:dyDescent="0.6">
      <c r="A49" s="13"/>
      <c r="B49" s="9"/>
      <c r="C49" s="20" t="s">
        <v>37</v>
      </c>
      <c r="D49" s="21"/>
      <c r="E49" s="21"/>
      <c r="F49" s="21"/>
      <c r="G49" s="21"/>
      <c r="H49" s="22"/>
      <c r="I49" s="20" t="s">
        <v>38</v>
      </c>
      <c r="J49" s="21"/>
      <c r="K49" s="21"/>
      <c r="L49" s="21"/>
      <c r="M49" s="21"/>
      <c r="N49" s="29"/>
    </row>
    <row r="50" spans="1:14" x14ac:dyDescent="0.6">
      <c r="A50" s="13"/>
      <c r="B50" s="9"/>
      <c r="C50" s="20" t="s">
        <v>21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9"/>
    </row>
    <row r="51" spans="1:14" x14ac:dyDescent="0.6">
      <c r="A51" s="13"/>
      <c r="B51" s="9"/>
      <c r="C51" s="20" t="s">
        <v>22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9"/>
    </row>
    <row r="52" spans="1:14" x14ac:dyDescent="0.6">
      <c r="A52" s="13"/>
      <c r="B52" s="9"/>
      <c r="C52" s="20" t="s">
        <v>25</v>
      </c>
      <c r="D52" s="21"/>
      <c r="E52" s="21"/>
      <c r="F52" s="21"/>
      <c r="G52" s="22"/>
      <c r="H52" s="30" t="s">
        <v>26</v>
      </c>
      <c r="I52" s="20" t="s">
        <v>25</v>
      </c>
      <c r="J52" s="21"/>
      <c r="K52" s="21"/>
      <c r="L52" s="21"/>
      <c r="M52" s="22"/>
      <c r="N52" s="23" t="s">
        <v>26</v>
      </c>
    </row>
    <row r="53" spans="1:14" x14ac:dyDescent="0.6">
      <c r="A53" s="13"/>
      <c r="B53" s="9"/>
      <c r="C53" s="30" t="s">
        <v>27</v>
      </c>
      <c r="D53" s="30" t="s">
        <v>28</v>
      </c>
      <c r="E53" s="20" t="s">
        <v>15</v>
      </c>
      <c r="F53" s="21"/>
      <c r="G53" s="22"/>
      <c r="H53" s="32"/>
      <c r="I53" s="30" t="s">
        <v>27</v>
      </c>
      <c r="J53" s="30" t="s">
        <v>28</v>
      </c>
      <c r="K53" s="20" t="s">
        <v>15</v>
      </c>
      <c r="L53" s="21"/>
      <c r="M53" s="22"/>
      <c r="N53" s="33"/>
    </row>
    <row r="54" spans="1:14" ht="148.5" x14ac:dyDescent="0.6">
      <c r="A54" s="13"/>
      <c r="B54" s="9"/>
      <c r="C54" s="31"/>
      <c r="D54" s="31"/>
      <c r="E54" s="9" t="s">
        <v>39</v>
      </c>
      <c r="F54" s="9" t="s">
        <v>40</v>
      </c>
      <c r="G54" s="9" t="s">
        <v>41</v>
      </c>
      <c r="H54" s="31"/>
      <c r="I54" s="31"/>
      <c r="J54" s="31"/>
      <c r="K54" s="9" t="s">
        <v>39</v>
      </c>
      <c r="L54" s="9" t="s">
        <v>40</v>
      </c>
      <c r="M54" s="9" t="s">
        <v>41</v>
      </c>
      <c r="N54" s="24"/>
    </row>
    <row r="55" spans="1:14" ht="27" customHeight="1" x14ac:dyDescent="0.6">
      <c r="A55" s="14" t="s">
        <v>31</v>
      </c>
      <c r="B55" s="15"/>
      <c r="C55" s="4">
        <v>15622</v>
      </c>
      <c r="D55" s="3">
        <v>0</v>
      </c>
      <c r="E55" s="3">
        <v>0</v>
      </c>
      <c r="F55" s="3">
        <v>0</v>
      </c>
      <c r="G55" s="3">
        <v>0</v>
      </c>
      <c r="H55" s="4">
        <v>15622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5">
        <v>0</v>
      </c>
    </row>
    <row r="56" spans="1:14" ht="27" customHeight="1" x14ac:dyDescent="0.6">
      <c r="A56" s="14" t="s">
        <v>30</v>
      </c>
      <c r="B56" s="15"/>
      <c r="C56" s="4">
        <v>6449202810</v>
      </c>
      <c r="D56" s="4">
        <v>994965788</v>
      </c>
      <c r="E56" s="4">
        <v>1751576084</v>
      </c>
      <c r="F56" s="4">
        <v>1204739860</v>
      </c>
      <c r="G56" s="4">
        <v>955578396</v>
      </c>
      <c r="H56" s="4">
        <v>11356062938</v>
      </c>
      <c r="I56" s="4">
        <v>899949830</v>
      </c>
      <c r="J56" s="4">
        <v>1723711</v>
      </c>
      <c r="K56" s="4">
        <v>7838180</v>
      </c>
      <c r="L56" s="4">
        <v>5070328</v>
      </c>
      <c r="M56" s="4">
        <v>2058115</v>
      </c>
      <c r="N56" s="6">
        <v>916640164</v>
      </c>
    </row>
    <row r="57" spans="1:14" ht="27" customHeight="1" x14ac:dyDescent="0.6">
      <c r="A57" s="14" t="s">
        <v>29</v>
      </c>
      <c r="B57" s="15"/>
      <c r="C57" s="4">
        <v>6449187188</v>
      </c>
      <c r="D57" s="4">
        <v>994965788</v>
      </c>
      <c r="E57" s="4">
        <v>1751576084</v>
      </c>
      <c r="F57" s="4">
        <v>1204739860</v>
      </c>
      <c r="G57" s="4">
        <v>955578396</v>
      </c>
      <c r="H57" s="4">
        <v>11356047316</v>
      </c>
      <c r="I57" s="4">
        <v>899949830</v>
      </c>
      <c r="J57" s="4">
        <v>1723711</v>
      </c>
      <c r="K57" s="4">
        <v>7838180</v>
      </c>
      <c r="L57" s="4">
        <v>5070328</v>
      </c>
      <c r="M57" s="4">
        <v>2058115</v>
      </c>
      <c r="N57" s="6">
        <v>916640164</v>
      </c>
    </row>
    <row r="58" spans="1:14" ht="54" customHeight="1" x14ac:dyDescent="0.6">
      <c r="A58" s="14" t="s">
        <v>42</v>
      </c>
      <c r="B58" s="15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34"/>
    </row>
    <row r="59" spans="1:14" ht="162" x14ac:dyDescent="0.6">
      <c r="A59" s="16" t="s">
        <v>42</v>
      </c>
      <c r="B59" s="10" t="s">
        <v>43</v>
      </c>
      <c r="C59" s="3">
        <v>0</v>
      </c>
      <c r="D59" s="3">
        <v>0</v>
      </c>
      <c r="E59" s="4">
        <v>-138752415</v>
      </c>
      <c r="F59" s="4">
        <v>-119872233</v>
      </c>
      <c r="G59" s="4">
        <v>-149556398</v>
      </c>
      <c r="H59" s="4">
        <v>-408181046</v>
      </c>
      <c r="I59" s="3">
        <v>0</v>
      </c>
      <c r="J59" s="3">
        <v>0</v>
      </c>
      <c r="K59" s="4">
        <v>-1145441</v>
      </c>
      <c r="L59" s="4">
        <v>-342494</v>
      </c>
      <c r="M59" s="4">
        <v>-68140</v>
      </c>
      <c r="N59" s="6">
        <v>-1556075</v>
      </c>
    </row>
    <row r="60" spans="1:14" ht="162" x14ac:dyDescent="0.6">
      <c r="A60" s="18"/>
      <c r="B60" s="10" t="s">
        <v>44</v>
      </c>
      <c r="C60" s="3">
        <v>0</v>
      </c>
      <c r="D60" s="4">
        <v>-16229340</v>
      </c>
      <c r="E60" s="3">
        <v>0</v>
      </c>
      <c r="F60" s="3">
        <v>0</v>
      </c>
      <c r="G60" s="3">
        <v>0</v>
      </c>
      <c r="H60" s="4">
        <v>-16229340</v>
      </c>
      <c r="I60" s="3">
        <v>0</v>
      </c>
      <c r="J60" s="4">
        <v>-181128</v>
      </c>
      <c r="K60" s="3">
        <v>0</v>
      </c>
      <c r="L60" s="3">
        <v>0</v>
      </c>
      <c r="M60" s="3">
        <v>0</v>
      </c>
      <c r="N60" s="6">
        <v>-181128</v>
      </c>
    </row>
    <row r="61" spans="1:14" ht="81" x14ac:dyDescent="0.6">
      <c r="A61" s="19"/>
      <c r="B61" s="10" t="s">
        <v>45</v>
      </c>
      <c r="C61" s="4">
        <v>73132692</v>
      </c>
      <c r="D61" s="3">
        <v>0</v>
      </c>
      <c r="E61" s="3">
        <v>0</v>
      </c>
      <c r="F61" s="3">
        <v>0</v>
      </c>
      <c r="G61" s="3">
        <v>0</v>
      </c>
      <c r="H61" s="4">
        <v>73132692</v>
      </c>
      <c r="I61" s="4">
        <v>815200</v>
      </c>
      <c r="J61" s="3">
        <v>0</v>
      </c>
      <c r="K61" s="3">
        <v>0</v>
      </c>
      <c r="L61" s="3">
        <v>0</v>
      </c>
      <c r="M61" s="3">
        <v>0</v>
      </c>
      <c r="N61" s="6">
        <v>815200</v>
      </c>
    </row>
    <row r="62" spans="1:14" ht="54" customHeight="1" x14ac:dyDescent="0.6">
      <c r="A62" s="14" t="s">
        <v>46</v>
      </c>
      <c r="B62" s="15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34"/>
    </row>
    <row r="63" spans="1:14" ht="121.5" x14ac:dyDescent="0.6">
      <c r="A63" s="16" t="s">
        <v>46</v>
      </c>
      <c r="B63" s="10" t="s">
        <v>47</v>
      </c>
      <c r="C63" s="4">
        <v>-823424900</v>
      </c>
      <c r="D63" s="4">
        <v>140674181</v>
      </c>
      <c r="E63" s="3">
        <v>0</v>
      </c>
      <c r="F63" s="3">
        <v>0</v>
      </c>
      <c r="G63" s="4">
        <v>740430906</v>
      </c>
      <c r="H63" s="4">
        <v>57680187</v>
      </c>
      <c r="I63" s="4">
        <v>-601464</v>
      </c>
      <c r="J63" s="4">
        <v>43277</v>
      </c>
      <c r="K63" s="3">
        <v>0</v>
      </c>
      <c r="L63" s="3">
        <v>0</v>
      </c>
      <c r="M63" s="4">
        <v>558187</v>
      </c>
      <c r="N63" s="5">
        <v>0</v>
      </c>
    </row>
    <row r="64" spans="1:14" ht="135" x14ac:dyDescent="0.6">
      <c r="A64" s="18"/>
      <c r="B64" s="10" t="s">
        <v>48</v>
      </c>
      <c r="C64" s="4">
        <v>717763542</v>
      </c>
      <c r="D64" s="4">
        <v>-110015369</v>
      </c>
      <c r="E64" s="4">
        <v>-357518191</v>
      </c>
      <c r="F64" s="4">
        <v>-29035149</v>
      </c>
      <c r="G64" s="4">
        <v>-221194833</v>
      </c>
      <c r="H64" s="3">
        <v>0</v>
      </c>
      <c r="I64" s="4">
        <v>-3392324</v>
      </c>
      <c r="J64" s="4">
        <v>504471</v>
      </c>
      <c r="K64" s="4">
        <v>1364104</v>
      </c>
      <c r="L64" s="4">
        <v>1083361</v>
      </c>
      <c r="M64" s="4">
        <v>440388</v>
      </c>
      <c r="N64" s="5">
        <v>0</v>
      </c>
    </row>
    <row r="65" spans="1:14" ht="135" x14ac:dyDescent="0.6">
      <c r="A65" s="19"/>
      <c r="B65" s="10" t="s">
        <v>49</v>
      </c>
      <c r="C65" s="4">
        <v>-29425661</v>
      </c>
      <c r="D65" s="4">
        <v>-3725845</v>
      </c>
      <c r="E65" s="3">
        <v>0</v>
      </c>
      <c r="F65" s="3">
        <v>0</v>
      </c>
      <c r="G65" s="3">
        <v>0</v>
      </c>
      <c r="H65" s="4">
        <v>-33151506</v>
      </c>
      <c r="I65" s="4">
        <v>618005</v>
      </c>
      <c r="J65" s="4">
        <v>1337</v>
      </c>
      <c r="K65" s="3">
        <v>0</v>
      </c>
      <c r="L65" s="3">
        <v>0</v>
      </c>
      <c r="M65" s="3">
        <v>0</v>
      </c>
      <c r="N65" s="6">
        <v>619342</v>
      </c>
    </row>
    <row r="66" spans="1:14" ht="54" customHeight="1" x14ac:dyDescent="0.6">
      <c r="A66" s="14" t="s">
        <v>50</v>
      </c>
      <c r="B66" s="15"/>
      <c r="C66" s="4">
        <v>-100528716</v>
      </c>
      <c r="D66" s="4">
        <v>-71453560</v>
      </c>
      <c r="E66" s="3">
        <v>0</v>
      </c>
      <c r="F66" s="3">
        <v>0</v>
      </c>
      <c r="G66" s="3">
        <v>0</v>
      </c>
      <c r="H66" s="4">
        <v>-171982276</v>
      </c>
      <c r="I66" s="4">
        <v>62763</v>
      </c>
      <c r="J66" s="4">
        <v>-9178</v>
      </c>
      <c r="K66" s="3">
        <v>0</v>
      </c>
      <c r="L66" s="3">
        <v>0</v>
      </c>
      <c r="M66" s="3">
        <v>0</v>
      </c>
      <c r="N66" s="6">
        <v>53585</v>
      </c>
    </row>
    <row r="67" spans="1:14" ht="54" customHeight="1" x14ac:dyDescent="0.6">
      <c r="A67" s="14" t="s">
        <v>51</v>
      </c>
      <c r="B67" s="15"/>
      <c r="C67" s="4">
        <v>-162483043</v>
      </c>
      <c r="D67" s="4">
        <v>-60749933</v>
      </c>
      <c r="E67" s="4">
        <v>-496270606</v>
      </c>
      <c r="F67" s="4">
        <v>-148907382</v>
      </c>
      <c r="G67" s="4">
        <v>369679675</v>
      </c>
      <c r="H67" s="4">
        <v>-498731289</v>
      </c>
      <c r="I67" s="4">
        <v>-2497820</v>
      </c>
      <c r="J67" s="4">
        <v>358779</v>
      </c>
      <c r="K67" s="4">
        <v>218663</v>
      </c>
      <c r="L67" s="4">
        <v>740867</v>
      </c>
      <c r="M67" s="4">
        <v>930435</v>
      </c>
      <c r="N67" s="6">
        <v>-249076</v>
      </c>
    </row>
    <row r="68" spans="1:14" ht="54" customHeight="1" x14ac:dyDescent="0.6">
      <c r="A68" s="14" t="s">
        <v>52</v>
      </c>
      <c r="B68" s="15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34"/>
    </row>
    <row r="69" spans="1:14" ht="94.5" x14ac:dyDescent="0.6">
      <c r="A69" s="16" t="s">
        <v>52</v>
      </c>
      <c r="B69" s="10" t="s">
        <v>53</v>
      </c>
      <c r="C69" s="4">
        <v>221871392</v>
      </c>
      <c r="D69" s="3">
        <v>0</v>
      </c>
      <c r="E69" s="4">
        <v>52827724</v>
      </c>
      <c r="F69" s="4">
        <v>40981562</v>
      </c>
      <c r="G69" s="4">
        <v>55638400</v>
      </c>
      <c r="H69" s="4">
        <v>371319078</v>
      </c>
      <c r="I69" s="4">
        <v>20111403</v>
      </c>
      <c r="J69" s="3">
        <v>0</v>
      </c>
      <c r="K69" s="4">
        <v>222435</v>
      </c>
      <c r="L69" s="4">
        <v>181872</v>
      </c>
      <c r="M69" s="4">
        <v>116188</v>
      </c>
      <c r="N69" s="6">
        <v>20631898</v>
      </c>
    </row>
    <row r="70" spans="1:14" ht="162" x14ac:dyDescent="0.6">
      <c r="A70" s="19"/>
      <c r="B70" s="10" t="s">
        <v>54</v>
      </c>
      <c r="C70" s="4">
        <v>1492088567</v>
      </c>
      <c r="D70" s="3">
        <v>0</v>
      </c>
      <c r="E70" s="3">
        <v>0</v>
      </c>
      <c r="F70" s="3">
        <v>0</v>
      </c>
      <c r="G70" s="3">
        <v>0</v>
      </c>
      <c r="H70" s="4">
        <v>1492088567</v>
      </c>
      <c r="I70" s="4">
        <v>2185538</v>
      </c>
      <c r="J70" s="3">
        <v>0</v>
      </c>
      <c r="K70" s="3">
        <v>0</v>
      </c>
      <c r="L70" s="3">
        <v>0</v>
      </c>
      <c r="M70" s="3">
        <v>0</v>
      </c>
      <c r="N70" s="6">
        <v>2185538</v>
      </c>
    </row>
    <row r="71" spans="1:14" ht="40.5" customHeight="1" x14ac:dyDescent="0.6">
      <c r="A71" s="14" t="s">
        <v>55</v>
      </c>
      <c r="B71" s="15"/>
      <c r="C71" s="4">
        <v>1551476916</v>
      </c>
      <c r="D71" s="4">
        <v>-60749933</v>
      </c>
      <c r="E71" s="4">
        <v>-443442882</v>
      </c>
      <c r="F71" s="4">
        <v>-107925820</v>
      </c>
      <c r="G71" s="4">
        <v>425318075</v>
      </c>
      <c r="H71" s="4">
        <v>1364676356</v>
      </c>
      <c r="I71" s="4">
        <v>19799121</v>
      </c>
      <c r="J71" s="4">
        <v>358779</v>
      </c>
      <c r="K71" s="4">
        <v>441098</v>
      </c>
      <c r="L71" s="4">
        <v>922739</v>
      </c>
      <c r="M71" s="4">
        <v>1046623</v>
      </c>
      <c r="N71" s="6">
        <v>22568360</v>
      </c>
    </row>
    <row r="72" spans="1:14" ht="40.5" customHeight="1" x14ac:dyDescent="0.6">
      <c r="A72" s="14" t="s">
        <v>56</v>
      </c>
      <c r="B72" s="15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34"/>
    </row>
    <row r="73" spans="1:14" ht="121.5" x14ac:dyDescent="0.6">
      <c r="A73" s="16" t="s">
        <v>56</v>
      </c>
      <c r="B73" s="10" t="s">
        <v>57</v>
      </c>
      <c r="C73" s="4">
        <v>5402342438</v>
      </c>
      <c r="D73" s="3">
        <v>0</v>
      </c>
      <c r="E73" s="3">
        <v>0</v>
      </c>
      <c r="F73" s="3">
        <v>0</v>
      </c>
      <c r="G73" s="3">
        <v>0</v>
      </c>
      <c r="H73" s="4">
        <v>5402342438</v>
      </c>
      <c r="I73" s="4">
        <v>33850976</v>
      </c>
      <c r="J73" s="3">
        <v>0</v>
      </c>
      <c r="K73" s="3">
        <v>0</v>
      </c>
      <c r="L73" s="3">
        <v>0</v>
      </c>
      <c r="M73" s="3">
        <v>0</v>
      </c>
      <c r="N73" s="6">
        <v>33850976</v>
      </c>
    </row>
    <row r="74" spans="1:14" ht="175.5" x14ac:dyDescent="0.6">
      <c r="A74" s="18"/>
      <c r="B74" s="10" t="s">
        <v>58</v>
      </c>
      <c r="C74" s="4">
        <v>-3669713354</v>
      </c>
      <c r="D74" s="3">
        <v>0</v>
      </c>
      <c r="E74" s="3">
        <v>0</v>
      </c>
      <c r="F74" s="3">
        <v>0</v>
      </c>
      <c r="G74" s="3">
        <v>0</v>
      </c>
      <c r="H74" s="4">
        <v>-3669713354</v>
      </c>
      <c r="I74" s="4">
        <v>-80289400</v>
      </c>
      <c r="J74" s="3">
        <v>0</v>
      </c>
      <c r="K74" s="3">
        <v>0</v>
      </c>
      <c r="L74" s="3">
        <v>0</v>
      </c>
      <c r="M74" s="3">
        <v>0</v>
      </c>
      <c r="N74" s="6">
        <v>-80289400</v>
      </c>
    </row>
    <row r="75" spans="1:14" ht="108" x14ac:dyDescent="0.6">
      <c r="A75" s="18"/>
      <c r="B75" s="10" t="s">
        <v>59</v>
      </c>
      <c r="C75" s="4">
        <v>-273303985</v>
      </c>
      <c r="D75" s="3">
        <v>0</v>
      </c>
      <c r="E75" s="3">
        <v>0</v>
      </c>
      <c r="F75" s="3">
        <v>0</v>
      </c>
      <c r="G75" s="3">
        <v>0</v>
      </c>
      <c r="H75" s="4">
        <v>-273303985</v>
      </c>
      <c r="I75" s="4">
        <v>-4575812</v>
      </c>
      <c r="J75" s="3">
        <v>0</v>
      </c>
      <c r="K75" s="3">
        <v>0</v>
      </c>
      <c r="L75" s="3">
        <v>0</v>
      </c>
      <c r="M75" s="3">
        <v>0</v>
      </c>
      <c r="N75" s="6">
        <v>-4575812</v>
      </c>
    </row>
    <row r="76" spans="1:14" ht="94.5" x14ac:dyDescent="0.6">
      <c r="A76" s="18"/>
      <c r="B76" s="10" t="s">
        <v>60</v>
      </c>
      <c r="C76" s="4">
        <v>-1032619761</v>
      </c>
      <c r="D76" s="3">
        <v>0</v>
      </c>
      <c r="E76" s="3">
        <v>0</v>
      </c>
      <c r="F76" s="3">
        <v>0</v>
      </c>
      <c r="G76" s="3">
        <v>0</v>
      </c>
      <c r="H76" s="4">
        <v>-1032619761</v>
      </c>
      <c r="I76" s="4">
        <v>-206415</v>
      </c>
      <c r="J76" s="3">
        <v>0</v>
      </c>
      <c r="K76" s="3">
        <v>0</v>
      </c>
      <c r="L76" s="3">
        <v>0</v>
      </c>
      <c r="M76" s="3">
        <v>0</v>
      </c>
      <c r="N76" s="6">
        <v>-206415</v>
      </c>
    </row>
    <row r="77" spans="1:14" ht="108" x14ac:dyDescent="0.6">
      <c r="A77" s="18"/>
      <c r="B77" s="10" t="s">
        <v>61</v>
      </c>
      <c r="C77" s="4">
        <v>20368113</v>
      </c>
      <c r="D77" s="3">
        <v>0</v>
      </c>
      <c r="E77" s="3">
        <v>0</v>
      </c>
      <c r="F77" s="3">
        <v>0</v>
      </c>
      <c r="G77" s="3">
        <v>0</v>
      </c>
      <c r="H77" s="4">
        <v>20368113</v>
      </c>
      <c r="I77" s="4">
        <v>438921</v>
      </c>
      <c r="J77" s="3">
        <v>0</v>
      </c>
      <c r="K77" s="3">
        <v>0</v>
      </c>
      <c r="L77" s="3">
        <v>0</v>
      </c>
      <c r="M77" s="3">
        <v>0</v>
      </c>
      <c r="N77" s="6">
        <v>438921</v>
      </c>
    </row>
    <row r="78" spans="1:14" ht="94.5" x14ac:dyDescent="0.6">
      <c r="A78" s="19"/>
      <c r="B78" s="10" t="s">
        <v>62</v>
      </c>
      <c r="C78" s="4">
        <v>447073451</v>
      </c>
      <c r="D78" s="3">
        <v>0</v>
      </c>
      <c r="E78" s="3">
        <v>0</v>
      </c>
      <c r="F78" s="3">
        <v>0</v>
      </c>
      <c r="G78" s="3">
        <v>0</v>
      </c>
      <c r="H78" s="4">
        <v>447073451</v>
      </c>
      <c r="I78" s="4">
        <v>-50781730</v>
      </c>
      <c r="J78" s="3">
        <v>0</v>
      </c>
      <c r="K78" s="3">
        <v>0</v>
      </c>
      <c r="L78" s="3">
        <v>0</v>
      </c>
      <c r="M78" s="3">
        <v>0</v>
      </c>
      <c r="N78" s="6">
        <v>-50781730</v>
      </c>
    </row>
    <row r="79" spans="1:14" ht="27" customHeight="1" x14ac:dyDescent="0.6">
      <c r="A79" s="14" t="s">
        <v>34</v>
      </c>
      <c r="B79" s="15"/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5">
        <v>0</v>
      </c>
    </row>
    <row r="80" spans="1:14" ht="27" customHeight="1" x14ac:dyDescent="0.6">
      <c r="A80" s="14" t="s">
        <v>33</v>
      </c>
      <c r="B80" s="15"/>
      <c r="C80" s="4">
        <v>8447737556</v>
      </c>
      <c r="D80" s="4">
        <v>934215855</v>
      </c>
      <c r="E80" s="4">
        <v>1308133201</v>
      </c>
      <c r="F80" s="4">
        <v>1096814041</v>
      </c>
      <c r="G80" s="4">
        <v>1380896470</v>
      </c>
      <c r="H80" s="4">
        <v>13167797123</v>
      </c>
      <c r="I80" s="4">
        <v>868967220</v>
      </c>
      <c r="J80" s="4">
        <v>2082490</v>
      </c>
      <c r="K80" s="4">
        <v>8279279</v>
      </c>
      <c r="L80" s="4">
        <v>5993066</v>
      </c>
      <c r="M80" s="4">
        <v>3104739</v>
      </c>
      <c r="N80" s="6">
        <v>888426794</v>
      </c>
    </row>
    <row r="81" spans="1:14" ht="27" customHeight="1" x14ac:dyDescent="0.6">
      <c r="A81" s="35" t="s">
        <v>32</v>
      </c>
      <c r="B81" s="17"/>
      <c r="C81" s="36">
        <v>8447737556</v>
      </c>
      <c r="D81" s="36">
        <v>934215855</v>
      </c>
      <c r="E81" s="36">
        <v>1308133201</v>
      </c>
      <c r="F81" s="36">
        <v>1096814041</v>
      </c>
      <c r="G81" s="36">
        <v>1380896470</v>
      </c>
      <c r="H81" s="36">
        <v>13167797123</v>
      </c>
      <c r="I81" s="36">
        <v>868967220</v>
      </c>
      <c r="J81" s="36">
        <v>2082490</v>
      </c>
      <c r="K81" s="36">
        <v>8279279</v>
      </c>
      <c r="L81" s="36">
        <v>5993066</v>
      </c>
      <c r="M81" s="36">
        <v>3104739</v>
      </c>
      <c r="N81" s="37">
        <v>888426794</v>
      </c>
    </row>
    <row r="82" spans="1:14" x14ac:dyDescent="0.6">
      <c r="A82" s="7"/>
    </row>
  </sheetData>
  <mergeCells count="73">
    <mergeCell ref="A80:B80"/>
    <mergeCell ref="A81:B81"/>
    <mergeCell ref="A69:A70"/>
    <mergeCell ref="A71:B71"/>
    <mergeCell ref="A72:B72"/>
    <mergeCell ref="A73:A78"/>
    <mergeCell ref="A79:B79"/>
    <mergeCell ref="A62:B62"/>
    <mergeCell ref="A63:A65"/>
    <mergeCell ref="A66:B66"/>
    <mergeCell ref="A67:B67"/>
    <mergeCell ref="A68:B68"/>
    <mergeCell ref="A55:B55"/>
    <mergeCell ref="A56:B56"/>
    <mergeCell ref="A57:B57"/>
    <mergeCell ref="A58:B58"/>
    <mergeCell ref="A59:A61"/>
    <mergeCell ref="C50:N50"/>
    <mergeCell ref="C51:N51"/>
    <mergeCell ref="C52:G52"/>
    <mergeCell ref="H52:H54"/>
    <mergeCell ref="I52:M52"/>
    <mergeCell ref="N52:N54"/>
    <mergeCell ref="C53:C54"/>
    <mergeCell ref="D53:D54"/>
    <mergeCell ref="E53:G53"/>
    <mergeCell ref="I53:I54"/>
    <mergeCell ref="J53:J54"/>
    <mergeCell ref="K53:M53"/>
    <mergeCell ref="C46:N46"/>
    <mergeCell ref="C47:N47"/>
    <mergeCell ref="C48:N48"/>
    <mergeCell ref="C49:H49"/>
    <mergeCell ref="I49:N49"/>
    <mergeCell ref="A39:B39"/>
    <mergeCell ref="A40:B40"/>
    <mergeCell ref="A41:B41"/>
    <mergeCell ref="C44:N44"/>
    <mergeCell ref="C45:N45"/>
    <mergeCell ref="C7:N7"/>
    <mergeCell ref="C8:N8"/>
    <mergeCell ref="C9:H9"/>
    <mergeCell ref="I9:N9"/>
    <mergeCell ref="C10:N10"/>
    <mergeCell ref="C11:N11"/>
    <mergeCell ref="C12:G12"/>
    <mergeCell ref="H12:H14"/>
    <mergeCell ref="I12:M12"/>
    <mergeCell ref="N12:N14"/>
    <mergeCell ref="A2:B2"/>
    <mergeCell ref="C4:N4"/>
    <mergeCell ref="C5:N5"/>
    <mergeCell ref="C6:N6"/>
    <mergeCell ref="C13:C14"/>
    <mergeCell ref="D13:D14"/>
    <mergeCell ref="E13:G13"/>
    <mergeCell ref="I13:I14"/>
    <mergeCell ref="J13:J14"/>
    <mergeCell ref="K13:M13"/>
    <mergeCell ref="A15:B15"/>
    <mergeCell ref="A16:B16"/>
    <mergeCell ref="A17:B17"/>
    <mergeCell ref="A18:B18"/>
    <mergeCell ref="A19:A21"/>
    <mergeCell ref="A22:B22"/>
    <mergeCell ref="A23:A25"/>
    <mergeCell ref="A26:B26"/>
    <mergeCell ref="A27:B27"/>
    <mergeCell ref="A28:B28"/>
    <mergeCell ref="A29:A30"/>
    <mergeCell ref="A31:B31"/>
    <mergeCell ref="A32:B32"/>
    <mergeCell ref="A33:A3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2026-06-01T15:20:53Z</dcterms:modified>
</cp:coreProperties>
</file>