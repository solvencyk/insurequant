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B4DB377C-EB8B-4457-849B-ABEE54D79D76}" xr6:coauthVersionLast="47" xr6:coauthVersionMax="47" xr10:uidLastSave="{00000000-0000-0000-0000-000000000000}"/>
  <bookViews>
    <workbookView xWindow="10718" yWindow="0" windowWidth="10965" windowHeight="13223" xr2:uid="{3CD259B9-5A78-42E0-B669-107C3DC53255}"/>
  </bookViews>
  <sheets>
    <sheet name="Sheet2" sheetId="2" r:id="rId1"/>
    <sheet name="부문별" sheetId="1" r:id="rId2"/>
    <sheet name="포괄손익계산서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2" l="1"/>
  <c r="H8" i="2"/>
  <c r="H12" i="2"/>
  <c r="H7" i="2"/>
  <c r="H11" i="2"/>
  <c r="H6" i="2"/>
  <c r="H10" i="2"/>
  <c r="H5" i="2"/>
  <c r="H3" i="2"/>
  <c r="H4" i="2"/>
  <c r="H9" i="2"/>
  <c r="E8" i="1" l="1"/>
  <c r="E9" i="1"/>
  <c r="E10" i="1"/>
  <c r="H17" i="2"/>
  <c r="H24" i="2"/>
  <c r="H22" i="2"/>
  <c r="H20" i="2"/>
  <c r="H18" i="2"/>
  <c r="H19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H2" i="2" l="1"/>
  <c r="I2" i="2" s="1"/>
  <c r="H21" i="2" l="1"/>
  <c r="I21" i="2" s="1"/>
  <c r="H23" i="2" l="1"/>
  <c r="I23" i="2" s="1"/>
  <c r="H25" i="2" l="1"/>
  <c r="I25" i="2" s="1"/>
</calcChain>
</file>

<file path=xl/sharedStrings.xml><?xml version="1.0" encoding="utf-8"?>
<sst xmlns="http://schemas.openxmlformats.org/spreadsheetml/2006/main" count="280" uniqueCount="130">
  <si>
    <t>보험취득현금흐름의 회수</t>
  </si>
  <si>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</si>
  <si>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</si>
  <si>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</si>
  <si>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</si>
  <si>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</si>
  <si>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</si>
  <si>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</si>
  <si>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</si>
  <si>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검증</t>
    <phoneticPr fontId="2" type="noConversion"/>
  </si>
  <si>
    <t>보험손익</t>
    <phoneticPr fontId="2" type="noConversion"/>
  </si>
  <si>
    <t>2025.4Q</t>
    <phoneticPr fontId="2" type="noConversion"/>
  </si>
  <si>
    <t>자동차손익</t>
  </si>
  <si>
    <t>일반손익</t>
  </si>
  <si>
    <t>기타영업수익</t>
    <phoneticPr fontId="2" type="noConversion"/>
  </si>
  <si>
    <t>기타사업비용</t>
    <phoneticPr fontId="2" type="noConversion"/>
  </si>
  <si>
    <t>투자손익</t>
    <phoneticPr fontId="2" type="noConversion"/>
  </si>
  <si>
    <t>투자이익</t>
  </si>
  <si>
    <t>보험금융손익</t>
  </si>
  <si>
    <t>영업이익</t>
  </si>
  <si>
    <t>영업외손익</t>
  </si>
  <si>
    <t>세전이익</t>
  </si>
  <si>
    <t>법인세</t>
  </si>
  <si>
    <t>당기순이익</t>
  </si>
  <si>
    <t>　보험서비스비용</t>
  </si>
  <si>
    <t>　　기타사업비용</t>
  </si>
  <si>
    <t>투자손익</t>
  </si>
  <si>
    <t>　　재보험금융수익</t>
  </si>
  <si>
    <t>　　이자수익</t>
  </si>
  <si>
    <t>　　배당금수익</t>
  </si>
  <si>
    <t>　　보험금융비용</t>
  </si>
  <si>
    <t>　　재산관리비</t>
  </si>
  <si>
    <t>　영업외수익</t>
  </si>
  <si>
    <t>　영업외비용</t>
  </si>
  <si>
    <t>법인세비용</t>
  </si>
  <si>
    <t>당기순이익(손실)의 귀속</t>
  </si>
  <si>
    <t>　　해외사업환산손익</t>
  </si>
  <si>
    <t>총포괄손익</t>
  </si>
  <si>
    <t>주당이익</t>
  </si>
  <si>
    <t>　보통주희석주당이익(손실) (단위 : 원)</t>
  </si>
  <si>
    <t>KR0069</t>
    <phoneticPr fontId="2" type="noConversion"/>
  </si>
  <si>
    <t>삼성생명</t>
    <phoneticPr fontId="2" type="noConversion"/>
  </si>
  <si>
    <t>생명보험</t>
    <phoneticPr fontId="2" type="noConversion"/>
  </si>
  <si>
    <t>제 70 기</t>
  </si>
  <si>
    <t>제 69 기</t>
  </si>
  <si>
    <t>제 68 기</t>
  </si>
  <si>
    <t>보험서비스결과</t>
  </si>
  <si>
    <t>　보험서비스수익</t>
  </si>
  <si>
    <t>　　일반보험서비스수익</t>
  </si>
  <si>
    <t>　　출재보험서비스수익</t>
  </si>
  <si>
    <t>　　일반보험서비스비용</t>
  </si>
  <si>
    <t>　　출재보험서비스비용</t>
  </si>
  <si>
    <t>　투자서비스수익</t>
  </si>
  <si>
    <t>　　보험금융수익</t>
  </si>
  <si>
    <t>　　당기손익공정가치측정금융자산관련이익</t>
  </si>
  <si>
    <t>　　기타포괄손익공정가치측정금융자산관련이익</t>
  </si>
  <si>
    <t>　　상각후원가측정금융자산관련이익</t>
  </si>
  <si>
    <t>　　파생상품관련이익</t>
  </si>
  <si>
    <t>　　외환거래이익</t>
  </si>
  <si>
    <t>　　수수료수익</t>
  </si>
  <si>
    <t>　　임대료수익</t>
  </si>
  <si>
    <t>　　기타영업수익</t>
  </si>
  <si>
    <t>　　리스수익</t>
  </si>
  <si>
    <t>　투자서비스비용</t>
  </si>
  <si>
    <t>　　재보험금융비용</t>
  </si>
  <si>
    <t>　　이자비용</t>
  </si>
  <si>
    <t>　　당기손익공정가치측정금융자산관련손실</t>
  </si>
  <si>
    <t>　　기타포괄손익공정가치측정금융자산관련손실</t>
  </si>
  <si>
    <t>　　상각후원가측정금융자산관련손실</t>
  </si>
  <si>
    <t>　　파생상품관련손실</t>
  </si>
  <si>
    <t>　　외환거래손실</t>
  </si>
  <si>
    <t>　　기타영업비용</t>
  </si>
  <si>
    <t>법인세비용차감전순이익</t>
  </si>
  <si>
    <t>계속영업이익(손실)</t>
  </si>
  <si>
    <t>당기순이익(손실)</t>
  </si>
  <si>
    <t>법인세비용차감후기타포괄손익</t>
  </si>
  <si>
    <t>　후속적으로 당기손익으로 재분류될 수 있는 포괄손익</t>
  </si>
  <si>
    <t>　　기타포괄손익공정가치측정채무증권평가손익</t>
  </si>
  <si>
    <t>　　기타포괄보험금융손익</t>
  </si>
  <si>
    <t>　　기타포괄재보험금융손익</t>
  </si>
  <si>
    <t>　　위험회피목적파생상품평가손익</t>
  </si>
  <si>
    <t>　　관계기업투자기타포괄손익</t>
  </si>
  <si>
    <t>　후속적으로 당기손익으로 재분류되지 않는 포괄손익</t>
  </si>
  <si>
    <t>　　순확정급여부채재측정요소</t>
  </si>
  <si>
    <t>　　기타포괄손익공정가치측정지분증권평가손익</t>
  </si>
  <si>
    <t>　지배기업의 소유주에게 귀속되는 당기순이익(손실)</t>
  </si>
  <si>
    <t>　　지배기업의 소유주에게 귀속될 계속영업손익</t>
  </si>
  <si>
    <t>　비지배지분에 귀속되는 당기순이익(손실)</t>
  </si>
  <si>
    <t>　　비지배지분에 귀속될 계속영업이익(손실)</t>
  </si>
  <si>
    <t>포괄손익의 귀속</t>
  </si>
  <si>
    <t>　지배기업의 소유주에게 귀속되는 총포괄손익</t>
  </si>
  <si>
    <t>　　지배기업의 소유주에게 귀속되는 계속영업포괄손익</t>
  </si>
  <si>
    <t>　비지배지분에 귀속되는 총포괄손익</t>
  </si>
  <si>
    <t>　　비지배지분에 귀속되는 계속영업포괄손익</t>
  </si>
  <si>
    <t>　기본주당이익(손실)(단위:원) (단위 : 원)</t>
  </si>
  <si>
    <t>23-1. 보험서비스수익 및 보험서비스비용 (연결)</t>
  </si>
  <si>
    <t>발행보험의 보험수익 분석 공시</t>
  </si>
  <si>
    <t>당기</t>
  </si>
  <si>
    <t>(단위 : 백만원)</t>
  </si>
  <si>
    <t>발행한 보험계약</t>
  </si>
  <si>
    <t>일반보험서비스수익</t>
  </si>
  <si>
    <t>예상 발생보험금 및 보험서비스비용</t>
  </si>
  <si>
    <t>위험해제로 인한 비금융위험에 대한 위험조정의 변동</t>
  </si>
  <si>
    <t>제공된 서비스의 보험계약마진</t>
  </si>
  <si>
    <t>손실요소 변동</t>
  </si>
  <si>
    <t>전기</t>
  </si>
  <si>
    <t>발행보험의 보험서비스비용 분석 공시</t>
  </si>
  <si>
    <t>일반보험서비스비용</t>
  </si>
  <si>
    <t>실제 발생보험금 및 보험서비스비용</t>
  </si>
  <si>
    <t>발생사고 이행현금흐름 변동</t>
  </si>
  <si>
    <t>손실부담계약의 손실 및 손실 환입</t>
  </si>
  <si>
    <t>23-2. 재보험서비스수익 및 재보험서비스비용 (연결)</t>
  </si>
  <si>
    <t>재보험서비스수익</t>
  </si>
  <si>
    <t>보유 재보험계약</t>
  </si>
  <si>
    <t>출재보험서비스수익</t>
  </si>
  <si>
    <t>손실회수요소의 변동</t>
  </si>
  <si>
    <t>재보험비용 분석 공시</t>
  </si>
  <si>
    <t>출재보험서비스비용</t>
  </si>
  <si>
    <t>당기 및 과거서비스 관련 보험료 경험조정</t>
  </si>
  <si>
    <t>생명장기 손익</t>
    <phoneticPr fontId="2" type="noConversion"/>
  </si>
  <si>
    <t>생명장기 원수손익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</si>
  <si>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</si>
  <si>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</si>
  <si>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</si>
  <si>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</si>
  <si>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생명장기 재보험손익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</si>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</sst>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3" fontId="3" fillId="0" borderId="0" xfId="0" applyNumberFormat="1" applyFon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4" fontId="1" fillId="0" borderId="3" xfId="0" applyNumberFormat="1" applyFont="1" applyBorder="1" applyAlignment="1">
      <alignment horizontal="right" vertical="center" wrapText="1"/>
    </xf>
    <xf numFmtId="4" fontId="1" fillId="0" borderId="5" xfId="0" applyNumberFormat="1" applyFont="1" applyBorder="1" applyAlignment="1">
      <alignment horizontal="right" vertical="center" wrapText="1"/>
    </xf>
    <xf numFmtId="4" fontId="1" fillId="0" borderId="6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3" fontId="1" fillId="0" borderId="3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3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4" fillId="0" borderId="0" xfId="0" applyFont="1">
      <alignment vertical="center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I25"/>
  <sheetViews>
    <sheetView tabSelected="1" zoomScale="70" zoomScaleNormal="70" workbookViewId="0"/>
  </sheetViews>
  <sheetFormatPr defaultRowHeight="16.899999999999999" x14ac:dyDescent="0.6"/>
  <cols>
    <col min="6" max="6" width="17.3125" bestFit="1" customWidth="1"/>
    <col min="8" max="8" width="15.1875" bestFit="1" customWidth="1"/>
  </cols>
  <sheetData>
    <row r="1" spans="1:9" x14ac:dyDescent="0.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6">
      <c r="A2" s="2" t="s">
        <v>40</v>
      </c>
      <c r="B2" s="2" t="s">
        <v>41</v>
      </c>
      <c r="C2" s="2"/>
      <c r="D2" s="2" t="s">
        <v>42</v>
      </c>
      <c r="E2" s="2">
        <v>1</v>
      </c>
      <c r="F2" t="s">
        <v>10</v>
      </c>
      <c r="G2" s="2" t="s">
        <v>11</v>
      </c>
      <c r="H2" s="1">
        <f>H3+H14+H15+H16-H17</f>
        <v>981030</v>
      </c>
      <c r="I2" t="b">
        <f>ROUND(H2,0)=ROUND(포괄손익계산서!B2,0)</f>
        <v>1</v>
      </c>
    </row>
    <row r="3" spans="1:9" x14ac:dyDescent="0.6">
      <c r="A3" s="2" t="s">
        <v>40</v>
      </c>
      <c r="B3" s="2" t="s">
        <v>41</v>
      </c>
      <c r="C3" s="2"/>
      <c r="D3" s="2" t="s">
        <v>42</v>
      </c>
      <c r="E3">
        <f t="shared" ref="E3:E6" si="0">E2+1</f>
        <v>2</v>
      </c>
      <c r="F3" t="s">
        <v>119</v>
      </c>
      <c r="G3" t="s">
        <v>11</v>
      </c>
      <c r="H3" s="1">
        <f>H4+H9</f>
        <v>1143194</v>
      </c>
    </row>
    <row r="4" spans="1:9" x14ac:dyDescent="0.6">
      <c r="A4" s="2" t="s">
        <v>40</v>
      </c>
      <c r="B4" s="2" t="s">
        <v>41</v>
      </c>
      <c r="C4" s="2"/>
      <c r="D4" s="2" t="s">
        <v>42</v>
      </c>
      <c r="E4">
        <f t="shared" si="0"/>
        <v>3</v>
      </c>
      <c r="F4" t="s">
        <v>120</v>
      </c>
      <c r="G4" t="s">
        <v>11</v>
      </c>
      <c r="H4" s="1">
        <f>부문별!C7-부문별!C27</f>
        <v>1201842</v>
      </c>
    </row>
    <row r="5" spans="1:9" x14ac:dyDescent="0.6">
      <c r="A5" s="2" t="s">
        <v>40</v>
      </c>
      <c r="B5" s="2" t="s">
        <v>41</v>
      </c>
      <c r="C5" s="2"/>
      <c r="D5" s="2" t="s">
        <v>42</v>
      </c>
      <c r="E5">
        <f t="shared" si="0"/>
        <v>4</v>
      </c>
      <c r="F5" t="s">
        <v>121</v>
      </c>
      <c r="G5" t="s">
        <v>11</v>
      </c>
      <c r="H5" s="3">
        <f>부문별!C10</f>
        <v>1511636</v>
      </c>
    </row>
    <row r="6" spans="1:9" x14ac:dyDescent="0.6">
      <c r="A6" s="2" t="s">
        <v>40</v>
      </c>
      <c r="B6" s="2" t="s">
        <v>41</v>
      </c>
      <c r="C6" s="2"/>
      <c r="D6" s="2" t="s">
        <v>42</v>
      </c>
      <c r="E6">
        <f t="shared" si="0"/>
        <v>5</v>
      </c>
      <c r="F6" t="s">
        <v>122</v>
      </c>
      <c r="G6" t="s">
        <v>11</v>
      </c>
      <c r="H6" s="3">
        <f>부문별!C9</f>
        <v>347889</v>
      </c>
    </row>
    <row r="7" spans="1:9" x14ac:dyDescent="0.6">
      <c r="A7" s="2" t="s">
        <v>40</v>
      </c>
      <c r="B7" s="2" t="s">
        <v>41</v>
      </c>
      <c r="C7" s="2"/>
      <c r="D7" s="2" t="s">
        <v>42</v>
      </c>
      <c r="E7">
        <f t="shared" ref="E7:E25" si="1">E6+1</f>
        <v>6</v>
      </c>
      <c r="F7" t="s">
        <v>123</v>
      </c>
      <c r="G7" t="s">
        <v>11</v>
      </c>
      <c r="H7" s="1">
        <f>부문별!C8-부문별!C28</f>
        <v>-136349</v>
      </c>
    </row>
    <row r="8" spans="1:9" x14ac:dyDescent="0.6">
      <c r="A8" s="2" t="s">
        <v>40</v>
      </c>
      <c r="B8" s="2" t="s">
        <v>41</v>
      </c>
      <c r="C8" s="2"/>
      <c r="D8" s="2" t="s">
        <v>42</v>
      </c>
      <c r="E8">
        <f t="shared" si="1"/>
        <v>7</v>
      </c>
      <c r="F8" t="s">
        <v>124</v>
      </c>
      <c r="G8" t="s">
        <v>11</v>
      </c>
      <c r="H8" s="1">
        <f>H4-SUM(H5:H7)</f>
        <v>-521334</v>
      </c>
    </row>
    <row r="9" spans="1:9" x14ac:dyDescent="0.6">
      <c r="A9" s="2" t="s">
        <v>40</v>
      </c>
      <c r="B9" s="2" t="s">
        <v>41</v>
      </c>
      <c r="C9" s="2"/>
      <c r="D9" s="2" t="s">
        <v>42</v>
      </c>
      <c r="E9">
        <f t="shared" si="1"/>
        <v>8</v>
      </c>
      <c r="F9" t="s">
        <v>125</v>
      </c>
      <c r="G9" t="s">
        <v>11</v>
      </c>
      <c r="H9" s="1">
        <f>-부문별!C48+부문별!C64</f>
        <v>-58648</v>
      </c>
    </row>
    <row r="10" spans="1:9" x14ac:dyDescent="0.6">
      <c r="A10" s="2" t="s">
        <v>40</v>
      </c>
      <c r="B10" s="2" t="s">
        <v>41</v>
      </c>
      <c r="C10" s="2"/>
      <c r="D10" s="2" t="s">
        <v>42</v>
      </c>
      <c r="E10">
        <f t="shared" si="1"/>
        <v>9</v>
      </c>
      <c r="F10" t="s">
        <v>126</v>
      </c>
      <c r="G10" t="s">
        <v>11</v>
      </c>
      <c r="H10" s="1">
        <f>+부문별!C67</f>
        <v>-64118</v>
      </c>
    </row>
    <row r="11" spans="1:9" x14ac:dyDescent="0.6">
      <c r="A11" s="2" t="s">
        <v>40</v>
      </c>
      <c r="B11" s="2" t="s">
        <v>41</v>
      </c>
      <c r="C11" s="2"/>
      <c r="D11" s="2" t="s">
        <v>42</v>
      </c>
      <c r="E11">
        <f t="shared" si="1"/>
        <v>10</v>
      </c>
      <c r="F11" t="s">
        <v>127</v>
      </c>
      <c r="G11" t="s">
        <v>11</v>
      </c>
      <c r="H11" s="1">
        <f>+부문별!C66</f>
        <v>-9515</v>
      </c>
    </row>
    <row r="12" spans="1:9" x14ac:dyDescent="0.6">
      <c r="A12" s="2" t="s">
        <v>40</v>
      </c>
      <c r="B12" s="2" t="s">
        <v>41</v>
      </c>
      <c r="C12" s="2"/>
      <c r="D12" s="2" t="s">
        <v>42</v>
      </c>
      <c r="E12">
        <f t="shared" si="1"/>
        <v>11</v>
      </c>
      <c r="F12" t="s">
        <v>128</v>
      </c>
      <c r="G12" t="s">
        <v>11</v>
      </c>
      <c r="H12" s="1">
        <f>-부문별!C49+부문별!C65</f>
        <v>7597</v>
      </c>
    </row>
    <row r="13" spans="1:9" x14ac:dyDescent="0.6">
      <c r="A13" s="2" t="s">
        <v>40</v>
      </c>
      <c r="B13" s="2" t="s">
        <v>41</v>
      </c>
      <c r="C13" s="2"/>
      <c r="D13" s="2" t="s">
        <v>42</v>
      </c>
      <c r="E13">
        <f t="shared" si="1"/>
        <v>12</v>
      </c>
      <c r="F13" t="s">
        <v>129</v>
      </c>
      <c r="G13" t="s">
        <v>11</v>
      </c>
      <c r="H13" s="1">
        <f>H9-SUM(H10:H12)</f>
        <v>7388</v>
      </c>
    </row>
    <row r="14" spans="1:9" x14ac:dyDescent="0.6">
      <c r="A14" s="2" t="s">
        <v>40</v>
      </c>
      <c r="B14" s="2" t="s">
        <v>41</v>
      </c>
      <c r="C14" s="2"/>
      <c r="D14" s="2" t="s">
        <v>42</v>
      </c>
      <c r="E14">
        <f t="shared" si="1"/>
        <v>13</v>
      </c>
      <c r="F14" t="s">
        <v>12</v>
      </c>
      <c r="G14" t="s">
        <v>11</v>
      </c>
      <c r="H14" s="1">
        <v>0</v>
      </c>
    </row>
    <row r="15" spans="1:9" x14ac:dyDescent="0.6">
      <c r="A15" s="2" t="s">
        <v>40</v>
      </c>
      <c r="B15" s="2" t="s">
        <v>41</v>
      </c>
      <c r="C15" s="2"/>
      <c r="D15" s="2" t="s">
        <v>42</v>
      </c>
      <c r="E15">
        <f t="shared" si="1"/>
        <v>14</v>
      </c>
      <c r="F15" t="s">
        <v>13</v>
      </c>
      <c r="G15" t="s">
        <v>11</v>
      </c>
      <c r="H15" s="1">
        <v>0</v>
      </c>
    </row>
    <row r="16" spans="1:9" x14ac:dyDescent="0.6">
      <c r="A16" s="2" t="s">
        <v>40</v>
      </c>
      <c r="B16" s="2" t="s">
        <v>41</v>
      </c>
      <c r="C16" s="2"/>
      <c r="D16" s="2" t="s">
        <v>42</v>
      </c>
      <c r="E16">
        <f t="shared" si="1"/>
        <v>15</v>
      </c>
      <c r="F16" t="s">
        <v>14</v>
      </c>
      <c r="G16" t="s">
        <v>11</v>
      </c>
      <c r="H16" s="1">
        <v>0</v>
      </c>
    </row>
    <row r="17" spans="1:9" x14ac:dyDescent="0.6">
      <c r="A17" s="2" t="s">
        <v>40</v>
      </c>
      <c r="B17" s="2" t="s">
        <v>41</v>
      </c>
      <c r="C17" s="2"/>
      <c r="D17" s="2" t="s">
        <v>42</v>
      </c>
      <c r="E17">
        <f t="shared" si="1"/>
        <v>16</v>
      </c>
      <c r="F17" t="s">
        <v>15</v>
      </c>
      <c r="G17" t="s">
        <v>11</v>
      </c>
      <c r="H17" s="1">
        <f>포괄손익계산서!B9</f>
        <v>162164</v>
      </c>
    </row>
    <row r="18" spans="1:9" x14ac:dyDescent="0.6">
      <c r="A18" s="2" t="s">
        <v>40</v>
      </c>
      <c r="B18" s="2" t="s">
        <v>41</v>
      </c>
      <c r="C18" s="2"/>
      <c r="D18" s="2" t="s">
        <v>42</v>
      </c>
      <c r="E18">
        <f t="shared" si="1"/>
        <v>17</v>
      </c>
      <c r="F18" t="s">
        <v>16</v>
      </c>
      <c r="G18" t="s">
        <v>11</v>
      </c>
      <c r="H18" s="1">
        <f>포괄손익계산서!B10</f>
        <v>1599439</v>
      </c>
    </row>
    <row r="19" spans="1:9" x14ac:dyDescent="0.6">
      <c r="A19" s="2" t="s">
        <v>40</v>
      </c>
      <c r="B19" s="2" t="s">
        <v>41</v>
      </c>
      <c r="C19" s="2"/>
      <c r="D19" s="2" t="s">
        <v>42</v>
      </c>
      <c r="E19">
        <f t="shared" si="1"/>
        <v>18</v>
      </c>
      <c r="F19" t="s">
        <v>17</v>
      </c>
      <c r="G19" t="s">
        <v>11</v>
      </c>
      <c r="H19" s="1">
        <f>H18-H20</f>
        <v>12172459</v>
      </c>
    </row>
    <row r="20" spans="1:9" x14ac:dyDescent="0.6">
      <c r="A20" s="2" t="s">
        <v>40</v>
      </c>
      <c r="B20" s="2" t="s">
        <v>41</v>
      </c>
      <c r="C20" s="2"/>
      <c r="D20" s="2" t="s">
        <v>42</v>
      </c>
      <c r="E20">
        <f t="shared" si="1"/>
        <v>19</v>
      </c>
      <c r="F20" t="s">
        <v>18</v>
      </c>
      <c r="G20" t="s">
        <v>11</v>
      </c>
      <c r="H20" s="1">
        <f>포괄손익계산서!B12-포괄손익계산서!B26</f>
        <v>-10573020</v>
      </c>
    </row>
    <row r="21" spans="1:9" x14ac:dyDescent="0.6">
      <c r="A21" s="2" t="s">
        <v>40</v>
      </c>
      <c r="B21" s="2" t="s">
        <v>41</v>
      </c>
      <c r="C21" s="2"/>
      <c r="D21" s="2" t="s">
        <v>42</v>
      </c>
      <c r="E21">
        <f t="shared" si="1"/>
        <v>20</v>
      </c>
      <c r="F21" t="s">
        <v>19</v>
      </c>
      <c r="G21" t="s">
        <v>11</v>
      </c>
      <c r="H21" s="1">
        <f>H2+H18</f>
        <v>2580469</v>
      </c>
      <c r="I21" t="b">
        <f>ROUND(H21,0)=ROUND(포괄손익계산서!B36,0)</f>
        <v>1</v>
      </c>
    </row>
    <row r="22" spans="1:9" x14ac:dyDescent="0.6">
      <c r="A22" s="2" t="s">
        <v>40</v>
      </c>
      <c r="B22" s="2" t="s">
        <v>41</v>
      </c>
      <c r="C22" s="2"/>
      <c r="D22" s="2" t="s">
        <v>42</v>
      </c>
      <c r="E22">
        <f t="shared" si="1"/>
        <v>21</v>
      </c>
      <c r="F22" t="s">
        <v>20</v>
      </c>
      <c r="G22" t="s">
        <v>11</v>
      </c>
      <c r="H22" s="1">
        <f>포괄손익계산서!B37</f>
        <v>415876</v>
      </c>
    </row>
    <row r="23" spans="1:9" x14ac:dyDescent="0.6">
      <c r="A23" s="2" t="s">
        <v>40</v>
      </c>
      <c r="B23" s="2" t="s">
        <v>41</v>
      </c>
      <c r="C23" s="2"/>
      <c r="D23" s="2" t="s">
        <v>42</v>
      </c>
      <c r="E23">
        <f t="shared" si="1"/>
        <v>22</v>
      </c>
      <c r="F23" t="s">
        <v>21</v>
      </c>
      <c r="G23" t="s">
        <v>11</v>
      </c>
      <c r="H23" s="1">
        <f>H21+H22</f>
        <v>2996345</v>
      </c>
      <c r="I23" t="b">
        <f>ROUND(H23,0)=ROUND(포괄손익계산서!B40,0)</f>
        <v>1</v>
      </c>
    </row>
    <row r="24" spans="1:9" x14ac:dyDescent="0.6">
      <c r="A24" s="2" t="s">
        <v>40</v>
      </c>
      <c r="B24" s="2" t="s">
        <v>41</v>
      </c>
      <c r="C24" s="2"/>
      <c r="D24" s="2" t="s">
        <v>42</v>
      </c>
      <c r="E24">
        <f t="shared" si="1"/>
        <v>23</v>
      </c>
      <c r="F24" t="s">
        <v>22</v>
      </c>
      <c r="G24" t="s">
        <v>11</v>
      </c>
      <c r="H24" s="1">
        <f>포괄손익계산서!B41</f>
        <v>544830</v>
      </c>
    </row>
    <row r="25" spans="1:9" x14ac:dyDescent="0.6">
      <c r="A25" s="2" t="s">
        <v>40</v>
      </c>
      <c r="B25" s="2" t="s">
        <v>41</v>
      </c>
      <c r="C25" s="2"/>
      <c r="D25" s="2" t="s">
        <v>42</v>
      </c>
      <c r="E25">
        <f t="shared" si="1"/>
        <v>24</v>
      </c>
      <c r="F25" t="s">
        <v>23</v>
      </c>
      <c r="G25" t="s">
        <v>11</v>
      </c>
      <c r="H25" s="1">
        <f>H23-H24</f>
        <v>2451515</v>
      </c>
      <c r="I25" t="b">
        <f>ROUND(H25,0)=ROUND(포괄손익계산서!B43,0)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E79"/>
  <sheetViews>
    <sheetView zoomScale="55" zoomScaleNormal="55" workbookViewId="0">
      <selection activeCell="C30" sqref="C29:C30"/>
    </sheetView>
  </sheetViews>
  <sheetFormatPr defaultRowHeight="16.899999999999999" x14ac:dyDescent="0.6"/>
  <cols>
    <col min="1" max="1" width="18.625" bestFit="1" customWidth="1"/>
    <col min="2" max="2" width="48.1875" bestFit="1" customWidth="1"/>
    <col min="3" max="3" width="15.3125" bestFit="1" customWidth="1"/>
  </cols>
  <sheetData>
    <row r="1" spans="1:5" x14ac:dyDescent="0.6">
      <c r="A1" s="17" t="s">
        <v>95</v>
      </c>
    </row>
    <row r="2" spans="1:5" x14ac:dyDescent="0.6">
      <c r="A2" s="18"/>
    </row>
    <row r="3" spans="1:5" x14ac:dyDescent="0.6">
      <c r="A3" s="18"/>
    </row>
    <row r="4" spans="1:5" ht="27" customHeight="1" x14ac:dyDescent="0.6">
      <c r="A4" s="34" t="s">
        <v>96</v>
      </c>
      <c r="B4" s="34"/>
    </row>
    <row r="5" spans="1:5" x14ac:dyDescent="0.6">
      <c r="A5" s="18" t="s">
        <v>97</v>
      </c>
      <c r="B5" s="19" t="s">
        <v>98</v>
      </c>
    </row>
    <row r="6" spans="1:5" x14ac:dyDescent="0.6">
      <c r="A6" s="20"/>
      <c r="B6" s="21"/>
      <c r="C6" s="22" t="s">
        <v>99</v>
      </c>
    </row>
    <row r="7" spans="1:5" x14ac:dyDescent="0.6">
      <c r="A7" s="35" t="s">
        <v>100</v>
      </c>
      <c r="B7" s="36"/>
      <c r="C7" s="23">
        <v>9718551</v>
      </c>
    </row>
    <row r="8" spans="1:5" x14ac:dyDescent="0.6">
      <c r="A8" s="37" t="s">
        <v>100</v>
      </c>
      <c r="B8" s="24" t="s">
        <v>101</v>
      </c>
      <c r="C8" s="23">
        <v>6784590</v>
      </c>
      <c r="E8" s="1">
        <f>C8-C28-C49+C65</f>
        <v>-128752</v>
      </c>
    </row>
    <row r="9" spans="1:5" x14ac:dyDescent="0.6">
      <c r="A9" s="38"/>
      <c r="B9" s="24" t="s">
        <v>102</v>
      </c>
      <c r="C9" s="23">
        <v>347889</v>
      </c>
      <c r="E9" s="1">
        <f>C9+C66</f>
        <v>338374</v>
      </c>
    </row>
    <row r="10" spans="1:5" x14ac:dyDescent="0.6">
      <c r="A10" s="38"/>
      <c r="B10" s="24" t="s">
        <v>103</v>
      </c>
      <c r="C10" s="23">
        <v>1511636</v>
      </c>
      <c r="E10" s="1">
        <f>C10+C67</f>
        <v>1447518</v>
      </c>
    </row>
    <row r="11" spans="1:5" x14ac:dyDescent="0.6">
      <c r="A11" s="38"/>
      <c r="B11" s="24" t="s">
        <v>104</v>
      </c>
      <c r="C11" s="23">
        <v>-25860</v>
      </c>
    </row>
    <row r="12" spans="1:5" x14ac:dyDescent="0.6">
      <c r="A12" s="39"/>
      <c r="B12" s="25" t="s">
        <v>0</v>
      </c>
      <c r="C12" s="26">
        <v>1100296</v>
      </c>
    </row>
    <row r="13" spans="1:5" x14ac:dyDescent="0.6">
      <c r="A13" s="18"/>
    </row>
    <row r="14" spans="1:5" x14ac:dyDescent="0.6">
      <c r="A14" s="18" t="s">
        <v>105</v>
      </c>
      <c r="B14" s="19" t="s">
        <v>98</v>
      </c>
    </row>
    <row r="15" spans="1:5" x14ac:dyDescent="0.6">
      <c r="A15" s="20"/>
      <c r="B15" s="21"/>
      <c r="C15" s="22" t="s">
        <v>99</v>
      </c>
    </row>
    <row r="16" spans="1:5" x14ac:dyDescent="0.6">
      <c r="A16" s="35" t="s">
        <v>100</v>
      </c>
      <c r="B16" s="36"/>
      <c r="C16" s="23">
        <v>9011262</v>
      </c>
    </row>
    <row r="17" spans="1:3" x14ac:dyDescent="0.6">
      <c r="A17" s="37" t="s">
        <v>100</v>
      </c>
      <c r="B17" s="24" t="s">
        <v>101</v>
      </c>
      <c r="C17" s="23">
        <v>6520971</v>
      </c>
    </row>
    <row r="18" spans="1:3" x14ac:dyDescent="0.6">
      <c r="A18" s="38"/>
      <c r="B18" s="24" t="s">
        <v>102</v>
      </c>
      <c r="C18" s="23">
        <v>323468</v>
      </c>
    </row>
    <row r="19" spans="1:3" x14ac:dyDescent="0.6">
      <c r="A19" s="38"/>
      <c r="B19" s="24" t="s">
        <v>103</v>
      </c>
      <c r="C19" s="23">
        <v>1393380</v>
      </c>
    </row>
    <row r="20" spans="1:3" x14ac:dyDescent="0.6">
      <c r="A20" s="38"/>
      <c r="B20" s="24" t="s">
        <v>104</v>
      </c>
      <c r="C20" s="23">
        <v>-11444</v>
      </c>
    </row>
    <row r="21" spans="1:3" x14ac:dyDescent="0.6">
      <c r="A21" s="39"/>
      <c r="B21" s="25" t="s">
        <v>0</v>
      </c>
      <c r="C21" s="26">
        <v>784887</v>
      </c>
    </row>
    <row r="22" spans="1:3" x14ac:dyDescent="0.6">
      <c r="A22" s="18"/>
    </row>
    <row r="23" spans="1:3" x14ac:dyDescent="0.6">
      <c r="A23" s="18"/>
    </row>
    <row r="24" spans="1:3" ht="27" customHeight="1" x14ac:dyDescent="0.6">
      <c r="A24" s="34" t="s">
        <v>106</v>
      </c>
      <c r="B24" s="34"/>
    </row>
    <row r="25" spans="1:3" x14ac:dyDescent="0.6">
      <c r="A25" s="18" t="s">
        <v>97</v>
      </c>
      <c r="B25" s="19" t="s">
        <v>98</v>
      </c>
    </row>
    <row r="26" spans="1:3" x14ac:dyDescent="0.6">
      <c r="A26" s="20"/>
      <c r="B26" s="21"/>
      <c r="C26" s="22" t="s">
        <v>99</v>
      </c>
    </row>
    <row r="27" spans="1:3" x14ac:dyDescent="0.6">
      <c r="A27" s="35" t="s">
        <v>107</v>
      </c>
      <c r="B27" s="36"/>
      <c r="C27" s="23">
        <v>8516709</v>
      </c>
    </row>
    <row r="28" spans="1:3" x14ac:dyDescent="0.6">
      <c r="A28" s="37" t="s">
        <v>107</v>
      </c>
      <c r="B28" s="24" t="s">
        <v>108</v>
      </c>
      <c r="C28" s="23">
        <v>6920939</v>
      </c>
    </row>
    <row r="29" spans="1:3" x14ac:dyDescent="0.6">
      <c r="A29" s="38"/>
      <c r="B29" s="24" t="s">
        <v>109</v>
      </c>
      <c r="C29" s="23">
        <v>131253</v>
      </c>
    </row>
    <row r="30" spans="1:3" x14ac:dyDescent="0.6">
      <c r="A30" s="38"/>
      <c r="B30" s="24" t="s">
        <v>110</v>
      </c>
      <c r="C30" s="23">
        <v>364221</v>
      </c>
    </row>
    <row r="31" spans="1:3" x14ac:dyDescent="0.6">
      <c r="A31" s="39"/>
      <c r="B31" s="25" t="s">
        <v>0</v>
      </c>
      <c r="C31" s="26">
        <v>1100296</v>
      </c>
    </row>
    <row r="32" spans="1:3" x14ac:dyDescent="0.6">
      <c r="A32" s="18"/>
    </row>
    <row r="33" spans="1:3" x14ac:dyDescent="0.6">
      <c r="A33" s="18" t="s">
        <v>105</v>
      </c>
      <c r="B33" s="19" t="s">
        <v>98</v>
      </c>
    </row>
    <row r="34" spans="1:3" x14ac:dyDescent="0.6">
      <c r="A34" s="20"/>
      <c r="B34" s="21"/>
      <c r="C34" s="22" t="s">
        <v>99</v>
      </c>
    </row>
    <row r="35" spans="1:3" x14ac:dyDescent="0.6">
      <c r="A35" s="35" t="s">
        <v>107</v>
      </c>
      <c r="B35" s="36"/>
      <c r="C35" s="23">
        <v>8358057</v>
      </c>
    </row>
    <row r="36" spans="1:3" x14ac:dyDescent="0.6">
      <c r="A36" s="37" t="s">
        <v>107</v>
      </c>
      <c r="B36" s="24" t="s">
        <v>108</v>
      </c>
      <c r="C36" s="23">
        <v>6714214</v>
      </c>
    </row>
    <row r="37" spans="1:3" x14ac:dyDescent="0.6">
      <c r="A37" s="38"/>
      <c r="B37" s="24" t="s">
        <v>109</v>
      </c>
      <c r="C37" s="23">
        <v>335978</v>
      </c>
    </row>
    <row r="38" spans="1:3" x14ac:dyDescent="0.6">
      <c r="A38" s="38"/>
      <c r="B38" s="24" t="s">
        <v>110</v>
      </c>
      <c r="C38" s="23">
        <v>522978</v>
      </c>
    </row>
    <row r="39" spans="1:3" x14ac:dyDescent="0.6">
      <c r="A39" s="39"/>
      <c r="B39" s="25" t="s">
        <v>0</v>
      </c>
      <c r="C39" s="26">
        <v>784887</v>
      </c>
    </row>
    <row r="40" spans="1:3" x14ac:dyDescent="0.6">
      <c r="A40" s="18"/>
    </row>
    <row r="41" spans="1:3" x14ac:dyDescent="0.6">
      <c r="A41" s="18"/>
    </row>
    <row r="42" spans="1:3" x14ac:dyDescent="0.6">
      <c r="A42" s="17" t="s">
        <v>111</v>
      </c>
    </row>
    <row r="43" spans="1:3" x14ac:dyDescent="0.6">
      <c r="A43" s="18"/>
    </row>
    <row r="44" spans="1:3" x14ac:dyDescent="0.6">
      <c r="A44" s="18"/>
    </row>
    <row r="45" spans="1:3" x14ac:dyDescent="0.6">
      <c r="A45" s="34" t="s">
        <v>112</v>
      </c>
      <c r="B45" s="34"/>
    </row>
    <row r="46" spans="1:3" x14ac:dyDescent="0.6">
      <c r="A46" s="18" t="s">
        <v>97</v>
      </c>
      <c r="B46" s="19" t="s">
        <v>98</v>
      </c>
    </row>
    <row r="47" spans="1:3" x14ac:dyDescent="0.6">
      <c r="A47" s="20"/>
      <c r="B47" s="21"/>
      <c r="C47" s="22" t="s">
        <v>113</v>
      </c>
    </row>
    <row r="48" spans="1:3" x14ac:dyDescent="0.6">
      <c r="A48" s="35" t="s">
        <v>114</v>
      </c>
      <c r="B48" s="36"/>
      <c r="C48" s="23">
        <v>-171891</v>
      </c>
    </row>
    <row r="49" spans="1:3" x14ac:dyDescent="0.6">
      <c r="A49" s="37" t="s">
        <v>114</v>
      </c>
      <c r="B49" s="24" t="s">
        <v>108</v>
      </c>
      <c r="C49" s="23">
        <v>-179290</v>
      </c>
    </row>
    <row r="50" spans="1:3" x14ac:dyDescent="0.6">
      <c r="A50" s="38"/>
      <c r="B50" s="24" t="s">
        <v>109</v>
      </c>
      <c r="C50" s="23">
        <v>7438</v>
      </c>
    </row>
    <row r="51" spans="1:3" x14ac:dyDescent="0.6">
      <c r="A51" s="39"/>
      <c r="B51" s="25" t="s">
        <v>115</v>
      </c>
      <c r="C51" s="27">
        <v>-39</v>
      </c>
    </row>
    <row r="52" spans="1:3" x14ac:dyDescent="0.6">
      <c r="A52" s="18"/>
    </row>
    <row r="53" spans="1:3" x14ac:dyDescent="0.6">
      <c r="A53" s="18" t="s">
        <v>105</v>
      </c>
      <c r="B53" s="19" t="s">
        <v>98</v>
      </c>
    </row>
    <row r="54" spans="1:3" x14ac:dyDescent="0.6">
      <c r="A54" s="20"/>
      <c r="B54" s="21"/>
      <c r="C54" s="22" t="s">
        <v>113</v>
      </c>
    </row>
    <row r="55" spans="1:3" x14ac:dyDescent="0.6">
      <c r="A55" s="35" t="s">
        <v>114</v>
      </c>
      <c r="B55" s="36"/>
      <c r="C55" s="23">
        <v>-178845</v>
      </c>
    </row>
    <row r="56" spans="1:3" x14ac:dyDescent="0.6">
      <c r="A56" s="37" t="s">
        <v>114</v>
      </c>
      <c r="B56" s="24" t="s">
        <v>108</v>
      </c>
      <c r="C56" s="23">
        <v>-152818</v>
      </c>
    </row>
    <row r="57" spans="1:3" x14ac:dyDescent="0.6">
      <c r="A57" s="38"/>
      <c r="B57" s="24" t="s">
        <v>109</v>
      </c>
      <c r="C57" s="23">
        <v>-23786</v>
      </c>
    </row>
    <row r="58" spans="1:3" x14ac:dyDescent="0.6">
      <c r="A58" s="39"/>
      <c r="B58" s="25" t="s">
        <v>115</v>
      </c>
      <c r="C58" s="26">
        <v>-2241</v>
      </c>
    </row>
    <row r="59" spans="1:3" x14ac:dyDescent="0.6">
      <c r="A59" s="18"/>
    </row>
    <row r="60" spans="1:3" x14ac:dyDescent="0.6">
      <c r="A60" s="18"/>
    </row>
    <row r="61" spans="1:3" ht="27" customHeight="1" x14ac:dyDescent="0.6">
      <c r="A61" s="34" t="s">
        <v>116</v>
      </c>
      <c r="B61" s="34"/>
    </row>
    <row r="62" spans="1:3" x14ac:dyDescent="0.6">
      <c r="A62" s="18" t="s">
        <v>97</v>
      </c>
      <c r="B62" s="19" t="s">
        <v>98</v>
      </c>
    </row>
    <row r="63" spans="1:3" x14ac:dyDescent="0.6">
      <c r="A63" s="20"/>
      <c r="B63" s="21"/>
      <c r="C63" s="22" t="s">
        <v>113</v>
      </c>
    </row>
    <row r="64" spans="1:3" x14ac:dyDescent="0.6">
      <c r="A64" s="35" t="s">
        <v>117</v>
      </c>
      <c r="B64" s="36"/>
      <c r="C64" s="23">
        <v>-230539</v>
      </c>
    </row>
    <row r="65" spans="1:3" x14ac:dyDescent="0.6">
      <c r="A65" s="37" t="s">
        <v>117</v>
      </c>
      <c r="B65" s="24" t="s">
        <v>101</v>
      </c>
      <c r="C65" s="23">
        <v>-171693</v>
      </c>
    </row>
    <row r="66" spans="1:3" x14ac:dyDescent="0.6">
      <c r="A66" s="38"/>
      <c r="B66" s="24" t="s">
        <v>102</v>
      </c>
      <c r="C66" s="23">
        <v>-9515</v>
      </c>
    </row>
    <row r="67" spans="1:3" x14ac:dyDescent="0.6">
      <c r="A67" s="38"/>
      <c r="B67" s="24" t="s">
        <v>103</v>
      </c>
      <c r="C67" s="23">
        <v>-64118</v>
      </c>
    </row>
    <row r="68" spans="1:3" x14ac:dyDescent="0.6">
      <c r="A68" s="38"/>
      <c r="B68" s="24" t="s">
        <v>104</v>
      </c>
      <c r="C68" s="23">
        <v>1681</v>
      </c>
    </row>
    <row r="69" spans="1:3" x14ac:dyDescent="0.6">
      <c r="A69" s="39"/>
      <c r="B69" s="25" t="s">
        <v>118</v>
      </c>
      <c r="C69" s="26">
        <v>13106</v>
      </c>
    </row>
    <row r="70" spans="1:3" x14ac:dyDescent="0.6">
      <c r="A70" s="18"/>
    </row>
    <row r="71" spans="1:3" x14ac:dyDescent="0.6">
      <c r="A71" s="18" t="s">
        <v>105</v>
      </c>
      <c r="B71" s="19" t="s">
        <v>98</v>
      </c>
    </row>
    <row r="72" spans="1:3" x14ac:dyDescent="0.6">
      <c r="A72" s="20"/>
      <c r="B72" s="21"/>
      <c r="C72" s="22" t="s">
        <v>113</v>
      </c>
    </row>
    <row r="73" spans="1:3" x14ac:dyDescent="0.6">
      <c r="A73" s="35" t="s">
        <v>117</v>
      </c>
      <c r="B73" s="36"/>
      <c r="C73" s="23">
        <v>-199896</v>
      </c>
    </row>
    <row r="74" spans="1:3" x14ac:dyDescent="0.6">
      <c r="A74" s="37" t="s">
        <v>117</v>
      </c>
      <c r="B74" s="24" t="s">
        <v>101</v>
      </c>
      <c r="C74" s="23">
        <v>-154175</v>
      </c>
    </row>
    <row r="75" spans="1:3" x14ac:dyDescent="0.6">
      <c r="A75" s="38"/>
      <c r="B75" s="24" t="s">
        <v>102</v>
      </c>
      <c r="C75" s="23">
        <v>-9765</v>
      </c>
    </row>
    <row r="76" spans="1:3" x14ac:dyDescent="0.6">
      <c r="A76" s="38"/>
      <c r="B76" s="24" t="s">
        <v>103</v>
      </c>
      <c r="C76" s="23">
        <v>-52624</v>
      </c>
    </row>
    <row r="77" spans="1:3" x14ac:dyDescent="0.6">
      <c r="A77" s="38"/>
      <c r="B77" s="24" t="s">
        <v>104</v>
      </c>
      <c r="C77" s="28">
        <v>712</v>
      </c>
    </row>
    <row r="78" spans="1:3" x14ac:dyDescent="0.6">
      <c r="A78" s="39"/>
      <c r="B78" s="25" t="s">
        <v>118</v>
      </c>
      <c r="C78" s="26">
        <v>15956</v>
      </c>
    </row>
    <row r="79" spans="1:3" x14ac:dyDescent="0.6">
      <c r="A79" s="18"/>
    </row>
  </sheetData>
  <mergeCells count="20">
    <mergeCell ref="A45:B45"/>
    <mergeCell ref="A64:B64"/>
    <mergeCell ref="A65:A69"/>
    <mergeCell ref="A73:B73"/>
    <mergeCell ref="A74:A78"/>
    <mergeCell ref="A48:B48"/>
    <mergeCell ref="A49:A51"/>
    <mergeCell ref="A55:B55"/>
    <mergeCell ref="A56:A58"/>
    <mergeCell ref="A61:B61"/>
    <mergeCell ref="A24:B24"/>
    <mergeCell ref="A27:B27"/>
    <mergeCell ref="A28:A31"/>
    <mergeCell ref="A35:B35"/>
    <mergeCell ref="A36:A39"/>
    <mergeCell ref="A4:B4"/>
    <mergeCell ref="A7:B7"/>
    <mergeCell ref="A8:A12"/>
    <mergeCell ref="A16:B16"/>
    <mergeCell ref="A17:A2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EC7-CE9B-417C-8843-1A1AB8BC1846}">
  <dimension ref="A1:F68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6" sqref="A26"/>
    </sheetView>
  </sheetViews>
  <sheetFormatPr defaultRowHeight="16.899999999999999" x14ac:dyDescent="0.6"/>
  <cols>
    <col min="1" max="1" width="44.625" bestFit="1" customWidth="1"/>
    <col min="2" max="2" width="17.375" bestFit="1" customWidth="1"/>
    <col min="3" max="4" width="16.625" bestFit="1" customWidth="1"/>
    <col min="6" max="8" width="10.9375" bestFit="1" customWidth="1"/>
  </cols>
  <sheetData>
    <row r="1" spans="1:6" x14ac:dyDescent="0.6">
      <c r="A1" s="5"/>
      <c r="B1" s="6" t="s">
        <v>43</v>
      </c>
      <c r="C1" s="6" t="s">
        <v>44</v>
      </c>
      <c r="D1" s="7" t="s">
        <v>45</v>
      </c>
    </row>
    <row r="2" spans="1:6" x14ac:dyDescent="0.6">
      <c r="A2" s="11" t="s">
        <v>46</v>
      </c>
      <c r="B2" s="4">
        <v>981030</v>
      </c>
      <c r="C2" s="4">
        <v>536631</v>
      </c>
      <c r="D2" s="12">
        <v>1448232</v>
      </c>
      <c r="F2" s="33">
        <v>974742.61726700002</v>
      </c>
    </row>
    <row r="3" spans="1:6" x14ac:dyDescent="0.6">
      <c r="A3" s="11" t="s">
        <v>47</v>
      </c>
      <c r="B3" s="4">
        <v>9890442</v>
      </c>
      <c r="C3" s="4">
        <v>9190107</v>
      </c>
      <c r="D3" s="12">
        <v>8672104</v>
      </c>
    </row>
    <row r="4" spans="1:6" x14ac:dyDescent="0.6">
      <c r="A4" s="11" t="s">
        <v>48</v>
      </c>
      <c r="B4" s="4">
        <v>9718551</v>
      </c>
      <c r="C4" s="4">
        <v>9011262</v>
      </c>
      <c r="D4" s="12">
        <v>8536474</v>
      </c>
      <c r="F4" s="1"/>
    </row>
    <row r="5" spans="1:6" x14ac:dyDescent="0.6">
      <c r="A5" s="11" t="s">
        <v>49</v>
      </c>
      <c r="B5" s="4">
        <v>171891</v>
      </c>
      <c r="C5" s="4">
        <v>178845</v>
      </c>
      <c r="D5" s="12">
        <v>135630</v>
      </c>
    </row>
    <row r="6" spans="1:6" x14ac:dyDescent="0.6">
      <c r="A6" s="11" t="s">
        <v>24</v>
      </c>
      <c r="B6" s="4">
        <v>8909412</v>
      </c>
      <c r="C6" s="4">
        <v>8653476</v>
      </c>
      <c r="D6" s="12">
        <v>7223872</v>
      </c>
    </row>
    <row r="7" spans="1:6" x14ac:dyDescent="0.6">
      <c r="A7" s="11" t="s">
        <v>50</v>
      </c>
      <c r="B7" s="4">
        <v>8516709</v>
      </c>
      <c r="C7" s="4">
        <v>8358057</v>
      </c>
      <c r="D7" s="12">
        <v>7000247</v>
      </c>
    </row>
    <row r="8" spans="1:6" x14ac:dyDescent="0.6">
      <c r="A8" s="11" t="s">
        <v>51</v>
      </c>
      <c r="B8" s="4">
        <v>230539</v>
      </c>
      <c r="C8" s="4">
        <v>199896</v>
      </c>
      <c r="D8" s="12">
        <v>162865</v>
      </c>
    </row>
    <row r="9" spans="1:6" x14ac:dyDescent="0.6">
      <c r="A9" s="11" t="s">
        <v>25</v>
      </c>
      <c r="B9" s="4">
        <v>162164</v>
      </c>
      <c r="C9" s="4">
        <v>95523</v>
      </c>
      <c r="D9" s="12">
        <v>60760</v>
      </c>
    </row>
    <row r="10" spans="1:6" x14ac:dyDescent="0.6">
      <c r="A10" s="11" t="s">
        <v>26</v>
      </c>
      <c r="B10" s="4">
        <v>1599439</v>
      </c>
      <c r="C10" s="4">
        <v>1963120</v>
      </c>
      <c r="D10" s="12">
        <v>950145</v>
      </c>
    </row>
    <row r="11" spans="1:6" x14ac:dyDescent="0.6">
      <c r="A11" s="11" t="s">
        <v>52</v>
      </c>
      <c r="B11" s="4">
        <v>27247868</v>
      </c>
      <c r="C11" s="4">
        <v>24595922</v>
      </c>
      <c r="D11" s="12">
        <v>22264910</v>
      </c>
    </row>
    <row r="12" spans="1:6" s="32" customFormat="1" x14ac:dyDescent="0.6">
      <c r="A12" s="29" t="s">
        <v>53</v>
      </c>
      <c r="B12" s="30">
        <v>1672566</v>
      </c>
      <c r="C12" s="30">
        <v>1825902</v>
      </c>
      <c r="D12" s="31">
        <v>1404187</v>
      </c>
    </row>
    <row r="13" spans="1:6" x14ac:dyDescent="0.6">
      <c r="A13" s="11" t="s">
        <v>27</v>
      </c>
      <c r="B13" s="4">
        <v>111959</v>
      </c>
      <c r="C13" s="4">
        <v>92551</v>
      </c>
      <c r="D13" s="12">
        <v>47678</v>
      </c>
    </row>
    <row r="14" spans="1:6" x14ac:dyDescent="0.6">
      <c r="A14" s="11" t="s">
        <v>28</v>
      </c>
      <c r="B14" s="4">
        <v>8406565</v>
      </c>
      <c r="C14" s="4">
        <v>8460953</v>
      </c>
      <c r="D14" s="12">
        <v>8437019</v>
      </c>
    </row>
    <row r="15" spans="1:6" x14ac:dyDescent="0.6">
      <c r="A15" s="11" t="s">
        <v>54</v>
      </c>
      <c r="B15" s="4">
        <v>7236997</v>
      </c>
      <c r="C15" s="4">
        <v>3007414</v>
      </c>
      <c r="D15" s="12">
        <v>4345918</v>
      </c>
    </row>
    <row r="16" spans="1:6" x14ac:dyDescent="0.6">
      <c r="A16" s="11" t="s">
        <v>55</v>
      </c>
      <c r="B16" s="4">
        <v>47106</v>
      </c>
      <c r="C16" s="4">
        <v>59084</v>
      </c>
      <c r="D16" s="12">
        <v>70315</v>
      </c>
    </row>
    <row r="17" spans="1:4" x14ac:dyDescent="0.6">
      <c r="A17" s="11" t="s">
        <v>56</v>
      </c>
      <c r="B17" s="4">
        <v>5149</v>
      </c>
      <c r="C17" s="4">
        <v>2411</v>
      </c>
      <c r="D17" s="13">
        <v>28</v>
      </c>
    </row>
    <row r="18" spans="1:4" x14ac:dyDescent="0.6">
      <c r="A18" s="11" t="s">
        <v>57</v>
      </c>
      <c r="B18" s="4">
        <v>3058666</v>
      </c>
      <c r="C18" s="4">
        <v>2133496</v>
      </c>
      <c r="D18" s="12">
        <v>2534850</v>
      </c>
    </row>
    <row r="19" spans="1:4" x14ac:dyDescent="0.6">
      <c r="A19" s="11" t="s">
        <v>58</v>
      </c>
      <c r="B19" s="4">
        <v>2245626</v>
      </c>
      <c r="C19" s="4">
        <v>5036774</v>
      </c>
      <c r="D19" s="12">
        <v>1605124</v>
      </c>
    </row>
    <row r="20" spans="1:4" x14ac:dyDescent="0.6">
      <c r="A20" s="11" t="s">
        <v>59</v>
      </c>
      <c r="B20" s="4">
        <v>2177176</v>
      </c>
      <c r="C20" s="4">
        <v>2030986</v>
      </c>
      <c r="D20" s="12">
        <v>1951878</v>
      </c>
    </row>
    <row r="21" spans="1:4" x14ac:dyDescent="0.6">
      <c r="A21" s="11" t="s">
        <v>29</v>
      </c>
      <c r="B21" s="4">
        <v>1039300</v>
      </c>
      <c r="C21" s="4">
        <v>1002409</v>
      </c>
      <c r="D21" s="12">
        <v>927332</v>
      </c>
    </row>
    <row r="22" spans="1:4" x14ac:dyDescent="0.6">
      <c r="A22" s="11" t="s">
        <v>60</v>
      </c>
      <c r="B22" s="4">
        <v>508420</v>
      </c>
      <c r="C22" s="4">
        <v>463164</v>
      </c>
      <c r="D22" s="12">
        <v>422547</v>
      </c>
    </row>
    <row r="23" spans="1:4" x14ac:dyDescent="0.6">
      <c r="A23" s="11" t="s">
        <v>61</v>
      </c>
      <c r="B23" s="4">
        <v>527959</v>
      </c>
      <c r="C23" s="4">
        <v>276748</v>
      </c>
      <c r="D23" s="12">
        <v>318398</v>
      </c>
    </row>
    <row r="24" spans="1:4" x14ac:dyDescent="0.6">
      <c r="A24" s="11" t="s">
        <v>62</v>
      </c>
      <c r="B24" s="4">
        <v>210379</v>
      </c>
      <c r="C24" s="4">
        <v>204030</v>
      </c>
      <c r="D24" s="12">
        <v>199636</v>
      </c>
    </row>
    <row r="25" spans="1:4" x14ac:dyDescent="0.6">
      <c r="A25" s="11" t="s">
        <v>63</v>
      </c>
      <c r="B25" s="4">
        <v>25648429</v>
      </c>
      <c r="C25" s="4">
        <v>22632802</v>
      </c>
      <c r="D25" s="12">
        <v>21314765</v>
      </c>
    </row>
    <row r="26" spans="1:4" s="32" customFormat="1" x14ac:dyDescent="0.6">
      <c r="A26" s="29" t="s">
        <v>30</v>
      </c>
      <c r="B26" s="30">
        <v>12245586</v>
      </c>
      <c r="C26" s="30">
        <v>8056436</v>
      </c>
      <c r="D26" s="31">
        <v>10593170</v>
      </c>
    </row>
    <row r="27" spans="1:4" x14ac:dyDescent="0.6">
      <c r="A27" s="11" t="s">
        <v>64</v>
      </c>
      <c r="B27" s="4">
        <v>40687</v>
      </c>
      <c r="C27" s="4">
        <v>41302</v>
      </c>
      <c r="D27" s="12">
        <v>40313</v>
      </c>
    </row>
    <row r="28" spans="1:4" x14ac:dyDescent="0.6">
      <c r="A28" s="11" t="s">
        <v>31</v>
      </c>
      <c r="B28" s="4">
        <v>344054</v>
      </c>
      <c r="C28" s="4">
        <v>334132</v>
      </c>
      <c r="D28" s="12">
        <v>305332</v>
      </c>
    </row>
    <row r="29" spans="1:4" x14ac:dyDescent="0.6">
      <c r="A29" s="11" t="s">
        <v>65</v>
      </c>
      <c r="B29" s="4">
        <v>1908207</v>
      </c>
      <c r="C29" s="4">
        <v>1788350</v>
      </c>
      <c r="D29" s="12">
        <v>1538797</v>
      </c>
    </row>
    <row r="30" spans="1:4" x14ac:dyDescent="0.6">
      <c r="A30" s="11" t="s">
        <v>66</v>
      </c>
      <c r="B30" s="4">
        <v>781555</v>
      </c>
      <c r="C30" s="4">
        <v>1621066</v>
      </c>
      <c r="D30" s="12">
        <v>434913</v>
      </c>
    </row>
    <row r="31" spans="1:4" x14ac:dyDescent="0.6">
      <c r="A31" s="11" t="s">
        <v>67</v>
      </c>
      <c r="B31" s="4">
        <v>33537</v>
      </c>
      <c r="C31" s="4">
        <v>39474</v>
      </c>
      <c r="D31" s="12">
        <v>491470</v>
      </c>
    </row>
    <row r="32" spans="1:4" x14ac:dyDescent="0.6">
      <c r="A32" s="11" t="s">
        <v>68</v>
      </c>
      <c r="B32" s="4">
        <v>859621</v>
      </c>
      <c r="C32" s="4">
        <v>765171</v>
      </c>
      <c r="D32" s="12">
        <v>823300</v>
      </c>
    </row>
    <row r="33" spans="1:4" x14ac:dyDescent="0.6">
      <c r="A33" s="11" t="s">
        <v>69</v>
      </c>
      <c r="B33" s="4">
        <v>5354202</v>
      </c>
      <c r="C33" s="4">
        <v>6579761</v>
      </c>
      <c r="D33" s="12">
        <v>3979723</v>
      </c>
    </row>
    <row r="34" spans="1:4" x14ac:dyDescent="0.6">
      <c r="A34" s="11" t="s">
        <v>70</v>
      </c>
      <c r="B34" s="4">
        <v>1463823</v>
      </c>
      <c r="C34" s="4">
        <v>731134</v>
      </c>
      <c r="D34" s="12">
        <v>656927</v>
      </c>
    </row>
    <row r="35" spans="1:4" x14ac:dyDescent="0.6">
      <c r="A35" s="11" t="s">
        <v>71</v>
      </c>
      <c r="B35" s="4">
        <v>2617157</v>
      </c>
      <c r="C35" s="4">
        <v>2675976</v>
      </c>
      <c r="D35" s="12">
        <v>2450820</v>
      </c>
    </row>
    <row r="36" spans="1:4" x14ac:dyDescent="0.6">
      <c r="A36" s="11" t="s">
        <v>19</v>
      </c>
      <c r="B36" s="4">
        <v>2580469</v>
      </c>
      <c r="C36" s="4">
        <v>2499751</v>
      </c>
      <c r="D36" s="12">
        <v>2398377</v>
      </c>
    </row>
    <row r="37" spans="1:4" x14ac:dyDescent="0.6">
      <c r="A37" s="11" t="s">
        <v>20</v>
      </c>
      <c r="B37" s="4">
        <v>415876</v>
      </c>
      <c r="C37" s="4">
        <v>313915</v>
      </c>
      <c r="D37" s="12">
        <v>160674</v>
      </c>
    </row>
    <row r="38" spans="1:4" x14ac:dyDescent="0.6">
      <c r="A38" s="11" t="s">
        <v>32</v>
      </c>
      <c r="B38" s="4">
        <v>457618</v>
      </c>
      <c r="C38" s="4">
        <v>357887</v>
      </c>
      <c r="D38" s="12">
        <v>210691</v>
      </c>
    </row>
    <row r="39" spans="1:4" x14ac:dyDescent="0.6">
      <c r="A39" s="11" t="s">
        <v>33</v>
      </c>
      <c r="B39" s="4">
        <v>41742</v>
      </c>
      <c r="C39" s="4">
        <v>43972</v>
      </c>
      <c r="D39" s="12">
        <v>50017</v>
      </c>
    </row>
    <row r="40" spans="1:4" x14ac:dyDescent="0.6">
      <c r="A40" s="11" t="s">
        <v>72</v>
      </c>
      <c r="B40" s="4">
        <v>2996345</v>
      </c>
      <c r="C40" s="4">
        <v>2813666</v>
      </c>
      <c r="D40" s="12">
        <v>2559051</v>
      </c>
    </row>
    <row r="41" spans="1:4" x14ac:dyDescent="0.6">
      <c r="A41" s="11" t="s">
        <v>34</v>
      </c>
      <c r="B41" s="4">
        <v>544830</v>
      </c>
      <c r="C41" s="4">
        <v>553411</v>
      </c>
      <c r="D41" s="12">
        <v>525342</v>
      </c>
    </row>
    <row r="42" spans="1:4" x14ac:dyDescent="0.6">
      <c r="A42" s="11" t="s">
        <v>73</v>
      </c>
      <c r="B42" s="4">
        <v>2451515</v>
      </c>
      <c r="C42" s="4">
        <v>2260255</v>
      </c>
      <c r="D42" s="12">
        <v>2033709</v>
      </c>
    </row>
    <row r="43" spans="1:4" s="32" customFormat="1" x14ac:dyDescent="0.6">
      <c r="A43" s="29" t="s">
        <v>74</v>
      </c>
      <c r="B43" s="30">
        <v>2451515</v>
      </c>
      <c r="C43" s="30">
        <v>2260255</v>
      </c>
      <c r="D43" s="31">
        <v>2033709</v>
      </c>
    </row>
    <row r="44" spans="1:4" x14ac:dyDescent="0.6">
      <c r="A44" s="11" t="s">
        <v>75</v>
      </c>
      <c r="B44" s="4">
        <v>25155409</v>
      </c>
      <c r="C44" s="4">
        <v>-15506636</v>
      </c>
      <c r="D44" s="12">
        <v>4667094</v>
      </c>
    </row>
    <row r="45" spans="1:4" ht="27" x14ac:dyDescent="0.6">
      <c r="A45" s="11" t="s">
        <v>76</v>
      </c>
      <c r="B45" s="4">
        <v>-145240</v>
      </c>
      <c r="C45" s="4">
        <v>-6468888</v>
      </c>
      <c r="D45" s="12">
        <v>-1102810</v>
      </c>
    </row>
    <row r="46" spans="1:4" x14ac:dyDescent="0.6">
      <c r="A46" s="11" t="s">
        <v>77</v>
      </c>
      <c r="B46" s="4">
        <v>-3768691</v>
      </c>
      <c r="C46" s="4">
        <v>2140674</v>
      </c>
      <c r="D46" s="12">
        <v>5385879</v>
      </c>
    </row>
    <row r="47" spans="1:4" x14ac:dyDescent="0.6">
      <c r="A47" s="11" t="s">
        <v>78</v>
      </c>
      <c r="B47" s="4">
        <v>4879401</v>
      </c>
      <c r="C47" s="4">
        <v>-9135510</v>
      </c>
      <c r="D47" s="12">
        <v>-7115273</v>
      </c>
    </row>
    <row r="48" spans="1:4" x14ac:dyDescent="0.6">
      <c r="A48" s="11" t="s">
        <v>79</v>
      </c>
      <c r="B48" s="4">
        <v>-42952</v>
      </c>
      <c r="C48" s="4">
        <v>60938</v>
      </c>
      <c r="D48" s="12">
        <v>44998</v>
      </c>
    </row>
    <row r="49" spans="1:4" x14ac:dyDescent="0.6">
      <c r="A49" s="11" t="s">
        <v>80</v>
      </c>
      <c r="B49" s="4">
        <v>-1254613</v>
      </c>
      <c r="C49" s="4">
        <v>270842</v>
      </c>
      <c r="D49" s="12">
        <v>532383</v>
      </c>
    </row>
    <row r="50" spans="1:4" x14ac:dyDescent="0.6">
      <c r="A50" s="11" t="s">
        <v>81</v>
      </c>
      <c r="B50" s="4">
        <v>5016</v>
      </c>
      <c r="C50" s="4">
        <v>-79078</v>
      </c>
      <c r="D50" s="12">
        <v>45823</v>
      </c>
    </row>
    <row r="51" spans="1:4" x14ac:dyDescent="0.6">
      <c r="A51" s="11" t="s">
        <v>36</v>
      </c>
      <c r="B51" s="4">
        <v>36599</v>
      </c>
      <c r="C51" s="4">
        <v>273246</v>
      </c>
      <c r="D51" s="12">
        <v>3380</v>
      </c>
    </row>
    <row r="52" spans="1:4" ht="27" x14ac:dyDescent="0.6">
      <c r="A52" s="11" t="s">
        <v>82</v>
      </c>
      <c r="B52" s="4">
        <v>25300649</v>
      </c>
      <c r="C52" s="4">
        <v>-9037748</v>
      </c>
      <c r="D52" s="12">
        <v>5769904</v>
      </c>
    </row>
    <row r="53" spans="1:4" x14ac:dyDescent="0.6">
      <c r="A53" s="11" t="s">
        <v>83</v>
      </c>
      <c r="B53" s="4">
        <v>-20113</v>
      </c>
      <c r="C53" s="4">
        <v>-52952</v>
      </c>
      <c r="D53" s="12">
        <v>-55897</v>
      </c>
    </row>
    <row r="54" spans="1:4" x14ac:dyDescent="0.6">
      <c r="A54" s="11" t="s">
        <v>84</v>
      </c>
      <c r="B54" s="4">
        <v>25320762</v>
      </c>
      <c r="C54" s="4">
        <v>-8984796</v>
      </c>
      <c r="D54" s="12">
        <v>5825801</v>
      </c>
    </row>
    <row r="55" spans="1:4" x14ac:dyDescent="0.6">
      <c r="A55" s="11" t="s">
        <v>37</v>
      </c>
      <c r="B55" s="4">
        <v>27606924</v>
      </c>
      <c r="C55" s="4">
        <v>-13246381</v>
      </c>
      <c r="D55" s="12">
        <v>6700803</v>
      </c>
    </row>
    <row r="56" spans="1:4" x14ac:dyDescent="0.6">
      <c r="A56" s="11" t="s">
        <v>35</v>
      </c>
      <c r="B56" s="9"/>
      <c r="C56" s="9"/>
      <c r="D56" s="13"/>
    </row>
    <row r="57" spans="1:4" x14ac:dyDescent="0.6">
      <c r="A57" s="11" t="s">
        <v>85</v>
      </c>
      <c r="B57" s="4">
        <v>2302837</v>
      </c>
      <c r="C57" s="4">
        <v>2106839</v>
      </c>
      <c r="D57" s="12">
        <v>1895312</v>
      </c>
    </row>
    <row r="58" spans="1:4" x14ac:dyDescent="0.6">
      <c r="A58" s="11" t="s">
        <v>86</v>
      </c>
      <c r="B58" s="4">
        <v>2302837</v>
      </c>
      <c r="C58" s="4">
        <v>2106839</v>
      </c>
      <c r="D58" s="12">
        <v>1895312</v>
      </c>
    </row>
    <row r="59" spans="1:4" x14ac:dyDescent="0.6">
      <c r="A59" s="11" t="s">
        <v>87</v>
      </c>
      <c r="B59" s="4">
        <v>148678</v>
      </c>
      <c r="C59" s="4">
        <v>153416</v>
      </c>
      <c r="D59" s="12">
        <v>138397</v>
      </c>
    </row>
    <row r="60" spans="1:4" x14ac:dyDescent="0.6">
      <c r="A60" s="11" t="s">
        <v>88</v>
      </c>
      <c r="B60" s="4">
        <v>148678</v>
      </c>
      <c r="C60" s="4">
        <v>153416</v>
      </c>
      <c r="D60" s="12">
        <v>138397</v>
      </c>
    </row>
    <row r="61" spans="1:4" x14ac:dyDescent="0.6">
      <c r="A61" s="11" t="s">
        <v>89</v>
      </c>
      <c r="B61" s="9"/>
      <c r="C61" s="9"/>
      <c r="D61" s="13"/>
    </row>
    <row r="62" spans="1:4" x14ac:dyDescent="0.6">
      <c r="A62" s="11" t="s">
        <v>90</v>
      </c>
      <c r="B62" s="4">
        <v>27434788</v>
      </c>
      <c r="C62" s="4">
        <v>-13410642</v>
      </c>
      <c r="D62" s="12">
        <v>6580989</v>
      </c>
    </row>
    <row r="63" spans="1:4" ht="27" x14ac:dyDescent="0.6">
      <c r="A63" s="11" t="s">
        <v>91</v>
      </c>
      <c r="B63" s="4">
        <v>27434788</v>
      </c>
      <c r="C63" s="4">
        <v>-13410642</v>
      </c>
      <c r="D63" s="12">
        <v>6580989</v>
      </c>
    </row>
    <row r="64" spans="1:4" x14ac:dyDescent="0.6">
      <c r="A64" s="11" t="s">
        <v>92</v>
      </c>
      <c r="B64" s="4">
        <v>172136</v>
      </c>
      <c r="C64" s="4">
        <v>164261</v>
      </c>
      <c r="D64" s="12">
        <v>119814</v>
      </c>
    </row>
    <row r="65" spans="1:4" x14ac:dyDescent="0.6">
      <c r="A65" s="11" t="s">
        <v>93</v>
      </c>
      <c r="B65" s="4">
        <v>172136</v>
      </c>
      <c r="C65" s="4">
        <v>164261</v>
      </c>
      <c r="D65" s="12">
        <v>119814</v>
      </c>
    </row>
    <row r="66" spans="1:4" x14ac:dyDescent="0.6">
      <c r="A66" s="11" t="s">
        <v>38</v>
      </c>
      <c r="B66" s="9"/>
      <c r="C66" s="9"/>
      <c r="D66" s="13"/>
    </row>
    <row r="67" spans="1:4" x14ac:dyDescent="0.6">
      <c r="A67" s="11" t="s">
        <v>94</v>
      </c>
      <c r="B67" s="10">
        <v>12824</v>
      </c>
      <c r="C67" s="10">
        <v>11732</v>
      </c>
      <c r="D67" s="14">
        <v>10554</v>
      </c>
    </row>
    <row r="68" spans="1:4" x14ac:dyDescent="0.6">
      <c r="A68" s="8" t="s">
        <v>39</v>
      </c>
      <c r="B68" s="15">
        <v>12824</v>
      </c>
      <c r="C68" s="15">
        <v>11732</v>
      </c>
      <c r="D68" s="16">
        <v>10554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부문별</vt:lpstr>
      <vt:lpstr>포괄손익계산서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2026-06-02T14:20:09Z</dcterms:modified>
</cp:coreProperties>
</file>