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gwook.cho\Desktop\insurequant\gold\"/>
    </mc:Choice>
  </mc:AlternateContent>
  <xr:revisionPtr revIDLastSave="0" documentId="13_ncr:1_{EE27F3CC-976E-4C15-800A-3CA5B929991C}" xr6:coauthVersionLast="47" xr6:coauthVersionMax="47" xr10:uidLastSave="{00000000-0000-0000-0000-000000000000}"/>
  <bookViews>
    <workbookView xWindow="-98" yWindow="-98" windowWidth="21795" windowHeight="12975" activeTab="1" xr2:uid="{B186C083-72FA-4707-BBE5-A56EC0A2D05F}"/>
  </bookViews>
  <sheets>
    <sheet name="Sheet1" sheetId="4" r:id="rId1"/>
    <sheet name="보험손익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" i="4" l="1"/>
  <c r="H15" i="4"/>
  <c r="H14" i="4"/>
  <c r="H12" i="4"/>
  <c r="H11" i="4"/>
  <c r="H10" i="4"/>
  <c r="H9" i="4"/>
  <c r="H7" i="4"/>
  <c r="H6" i="4"/>
  <c r="H5" i="4"/>
  <c r="H4" i="4"/>
  <c r="E8" i="4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H13" i="4" l="1"/>
  <c r="H3" i="4"/>
  <c r="H2" i="4" s="1"/>
  <c r="H8" i="4"/>
  <c r="E3" i="4"/>
  <c r="E4" i="4" s="1"/>
  <c r="E5" i="4" s="1"/>
  <c r="E6" i="4" s="1"/>
  <c r="E7" i="4" s="1"/>
</calcChain>
</file>

<file path=xl/sharedStrings.xml><?xml version="1.0" encoding="utf-8"?>
<sst xmlns="http://schemas.openxmlformats.org/spreadsheetml/2006/main" count="272" uniqueCount="85">
  <si>
    <t>공시분기</t>
  </si>
  <si>
    <t>영업이익</t>
  </si>
  <si>
    <t>당기순이익</t>
  </si>
  <si>
    <t>손해보험</t>
  </si>
  <si>
    <t>법인세</t>
  </si>
  <si>
    <t>세전이익</t>
  </si>
  <si>
    <t>영업외손익</t>
  </si>
  <si>
    <t>기타사업비용</t>
    <phoneticPr fontId="2" type="noConversion"/>
  </si>
  <si>
    <t>기타영업수익</t>
    <phoneticPr fontId="2" type="noConversion"/>
  </si>
  <si>
    <t>보험금융손익</t>
  </si>
  <si>
    <t>투자이익</t>
  </si>
  <si>
    <t>투자손익</t>
    <phoneticPr fontId="2" type="noConversion"/>
  </si>
  <si>
    <t>일반손익</t>
  </si>
  <si>
    <t>자동차손익</t>
  </si>
  <si>
    <t>보험손익</t>
    <phoneticPr fontId="2" type="noConversion"/>
  </si>
  <si>
    <t>값</t>
  </si>
  <si>
    <t>항목명</t>
  </si>
  <si>
    <t>항목번호</t>
  </si>
  <si>
    <t>생손보여부</t>
  </si>
  <si>
    <t>티커</t>
  </si>
  <si>
    <t>원수사명</t>
  </si>
  <si>
    <t>원보험사코드</t>
  </si>
  <si>
    <t>검증</t>
    <phoneticPr fontId="2" type="noConversion"/>
  </si>
  <si>
    <t>생명장기 손익</t>
    <phoneticPr fontId="2" type="noConversion"/>
  </si>
  <si>
    <t>생명장기 원수손익</t>
    <phoneticPr fontId="2" type="noConversion"/>
  </si>
  <si>
    <t>생명장기 재보험손익</t>
    <phoneticPr fontId="2" type="noConversion"/>
  </si>
  <si>
    <t>손해보험</t>
    <phoneticPr fontId="2" type="noConversion"/>
  </si>
  <si>
    <t>원수 CSM상각</t>
    <phoneticPr fontId="2" type="noConversion"/>
  </si>
  <si>
    <t>원수 위험조정 변동</t>
    <phoneticPr fontId="2" type="noConversion"/>
  </si>
  <si>
    <t>원수 예실차</t>
    <phoneticPr fontId="2" type="noConversion"/>
  </si>
  <si>
    <t>기타 생명장기 원수손익</t>
    <phoneticPr fontId="2" type="noConversion"/>
  </si>
  <si>
    <t>재보험 CSM상각</t>
    <phoneticPr fontId="2" type="noConversion"/>
  </si>
  <si>
    <t>재보험 위험조정 변동</t>
    <phoneticPr fontId="2" type="noConversion"/>
  </si>
  <si>
    <t>재보험 예실차</t>
    <phoneticPr fontId="2" type="noConversion"/>
  </si>
  <si>
    <t>기타 생명장기 재보험손익</t>
    <phoneticPr fontId="2" type="noConversion"/>
  </si>
  <si>
    <t>보험취득현금흐름상각</t>
  </si>
  <si>
    <t>손실부담계약의 손실인식(환입)</t>
  </si>
  <si>
    <t>발생사고부채 조정</t>
  </si>
  <si>
    <t>손실회수요소 인식(환입)</t>
  </si>
  <si>
    <t>발생사고자산 조정</t>
  </si>
  <si>
    <t>KR0011</t>
    <phoneticPr fontId="2" type="noConversion"/>
  </si>
  <si>
    <t>DB손보</t>
    <phoneticPr fontId="2" type="noConversion"/>
  </si>
  <si>
    <t>2024.4Q</t>
    <phoneticPr fontId="2" type="noConversion"/>
  </si>
  <si>
    <t>6. 보험수익 및 비용과 재보험수익 및 비용</t>
  </si>
  <si>
    <t>6-1 당기 및 전기 중 발행한 보험계약의 보험수익은 다음과 같습니다.</t>
  </si>
  <si>
    <t>&lt;당기&gt;</t>
  </si>
  <si>
    <t>(단위: 백만원)</t>
  </si>
  <si>
    <t>구  분</t>
  </si>
  <si>
    <t>장  기</t>
  </si>
  <si>
    <t>일  반</t>
  </si>
  <si>
    <t>자동차</t>
  </si>
  <si>
    <t>합  계</t>
  </si>
  <si>
    <t>&lt;원수&gt;</t>
  </si>
  <si>
    <t>예상보험금</t>
  </si>
  <si>
    <t>예상유지비</t>
  </si>
  <si>
    <t>예상손해조사비</t>
  </si>
  <si>
    <t>예상투자관리비</t>
  </si>
  <si>
    <t>비금융위험에 대한 위험조정상각</t>
  </si>
  <si>
    <t>보험계약마진상각</t>
  </si>
  <si>
    <t>손실요소배분</t>
  </si>
  <si>
    <t>보험료배분접근법적용계약 발생수익</t>
  </si>
  <si>
    <t>소  계</t>
  </si>
  <si>
    <t>&lt;수재&gt;</t>
  </si>
  <si>
    <t>6-2 당기 및 전기의 발행한 보험계약의 보험비용은 다음과 같습니다.</t>
  </si>
  <si>
    <t>발생보험금</t>
  </si>
  <si>
    <t>보험취득현금흐름비용</t>
  </si>
  <si>
    <t>발생직접유지비</t>
  </si>
  <si>
    <t>손해조사비</t>
  </si>
  <si>
    <t>투자관리비</t>
  </si>
  <si>
    <t>보험취득현금흐름 경험조정</t>
  </si>
  <si>
    <t>발생수재보험금</t>
  </si>
  <si>
    <t>수재손해조사비</t>
  </si>
  <si>
    <t>수재이익수수료</t>
  </si>
  <si>
    <t>수재유지비</t>
  </si>
  <si>
    <t>6-3 당기 및 전기의 보유한 재보험계약의 재보험수익은 다음과 같습니다.</t>
  </si>
  <si>
    <t>발생출재보험금 및 출재이익수수료</t>
  </si>
  <si>
    <t>출재손해조사비</t>
  </si>
  <si>
    <t>기타재보험수익</t>
  </si>
  <si>
    <t>6-4 당기 및 전기의 보유한 재보험계약의 재보험비용은 다음과 같습니다.</t>
  </si>
  <si>
    <t>예상출재보험금 및 예상출재이익수수료</t>
  </si>
  <si>
    <t>예상출재손해조사비</t>
  </si>
  <si>
    <t>손실회수요소배분</t>
  </si>
  <si>
    <t>보험료배분접근법적용계약 발생비용</t>
  </si>
  <si>
    <t>기타재보험비용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</si>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</sst>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굴림"/>
      <family val="3"/>
      <charset val="129"/>
    </font>
    <font>
      <sz val="8"/>
      <name val="맑은 고딕"/>
      <family val="2"/>
      <charset val="129"/>
      <scheme val="minor"/>
    </font>
    <font>
      <sz val="6"/>
      <color rgb="FF000000"/>
      <name val="바탕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1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3" fontId="0" fillId="0" borderId="0" xfId="0" applyNumberFormat="1">
      <alignment vertical="center"/>
    </xf>
    <xf numFmtId="3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3" fontId="1" fillId="0" borderId="3" xfId="0" applyNumberFormat="1" applyFont="1" applyBorder="1" applyAlignment="1">
      <alignment horizontal="right" vertical="center" wrapText="1"/>
    </xf>
    <xf numFmtId="3" fontId="1" fillId="0" borderId="4" xfId="0" applyNumberFormat="1" applyFont="1" applyBorder="1" applyAlignment="1">
      <alignment horizontal="right" vertical="center" wrapText="1"/>
    </xf>
    <xf numFmtId="3" fontId="1" fillId="0" borderId="5" xfId="0" applyNumberFormat="1" applyFont="1" applyBorder="1" applyAlignment="1">
      <alignment horizontal="right" vertical="center" wrapText="1"/>
    </xf>
    <xf numFmtId="0" fontId="1" fillId="0" borderId="3" xfId="0" applyFont="1" applyBorder="1" applyAlignment="1">
      <alignment horizontal="right" vertical="center" wrapText="1"/>
    </xf>
    <xf numFmtId="0" fontId="0" fillId="0" borderId="0" xfId="0" applyAlignment="1"/>
    <xf numFmtId="0" fontId="1" fillId="2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0" xfId="0" applyFo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60264-0ADE-4580-BFCD-469F1D8FFBA3}">
  <dimension ref="A1:L25"/>
  <sheetViews>
    <sheetView workbookViewId="0">
      <selection activeCell="F1" sqref="F1"/>
    </sheetView>
  </sheetViews>
  <sheetFormatPr defaultRowHeight="16.899999999999999" x14ac:dyDescent="0.6"/>
  <cols>
    <col min="5" max="5" width="9.1875" bestFit="1" customWidth="1"/>
    <col min="6" max="6" width="20.875" bestFit="1" customWidth="1"/>
    <col min="8" max="8" width="16.625" bestFit="1" customWidth="1"/>
  </cols>
  <sheetData>
    <row r="1" spans="1:12" x14ac:dyDescent="0.6">
      <c r="A1" s="8" t="s">
        <v>21</v>
      </c>
      <c r="B1" s="8" t="s">
        <v>20</v>
      </c>
      <c r="C1" s="8" t="s">
        <v>19</v>
      </c>
      <c r="D1" s="8" t="s">
        <v>18</v>
      </c>
      <c r="E1" s="8" t="s">
        <v>17</v>
      </c>
      <c r="F1" s="8" t="s">
        <v>16</v>
      </c>
      <c r="G1" s="8" t="s">
        <v>0</v>
      </c>
      <c r="H1" s="8" t="s">
        <v>15</v>
      </c>
      <c r="I1" s="8" t="s">
        <v>22</v>
      </c>
    </row>
    <row r="2" spans="1:12" x14ac:dyDescent="0.6">
      <c r="A2" s="8" t="s">
        <v>40</v>
      </c>
      <c r="B2" s="8" t="s">
        <v>41</v>
      </c>
      <c r="C2" s="8"/>
      <c r="D2" s="8" t="s">
        <v>3</v>
      </c>
      <c r="E2" s="8">
        <v>1</v>
      </c>
      <c r="F2" t="s">
        <v>14</v>
      </c>
      <c r="G2" s="8" t="s">
        <v>42</v>
      </c>
      <c r="H2" s="1">
        <f>H3+H14+H15+H16-H17</f>
        <v>1619094.478778</v>
      </c>
      <c r="I2" s="1" t="b">
        <f>ABS(ROUND(H2,0)-1619094)&lt;2</f>
        <v>1</v>
      </c>
      <c r="L2" s="1"/>
    </row>
    <row r="3" spans="1:12" x14ac:dyDescent="0.6">
      <c r="A3" s="8" t="s">
        <v>40</v>
      </c>
      <c r="B3" s="8" t="s">
        <v>41</v>
      </c>
      <c r="C3" s="8"/>
      <c r="D3" s="8" t="s">
        <v>3</v>
      </c>
      <c r="E3">
        <f t="shared" ref="E3" si="0">E2+1</f>
        <v>2</v>
      </c>
      <c r="F3" t="s">
        <v>23</v>
      </c>
      <c r="G3" t="s">
        <v>42</v>
      </c>
      <c r="H3" s="1">
        <f>H4+H9</f>
        <v>1419675</v>
      </c>
    </row>
    <row r="4" spans="1:12" x14ac:dyDescent="0.6">
      <c r="A4" s="8" t="s">
        <v>40</v>
      </c>
      <c r="B4" s="8" t="s">
        <v>41</v>
      </c>
      <c r="C4" s="8"/>
      <c r="D4" s="8" t="s">
        <v>3</v>
      </c>
      <c r="E4">
        <f t="shared" ref="E4:E7" si="1">E3+1</f>
        <v>3</v>
      </c>
      <c r="F4" t="s">
        <v>24</v>
      </c>
      <c r="G4" t="s">
        <v>42</v>
      </c>
      <c r="H4" s="1">
        <f>N(보험손익!B19)-N(보험손익!B44)</f>
        <v>1486688</v>
      </c>
    </row>
    <row r="5" spans="1:12" x14ac:dyDescent="0.6">
      <c r="A5" s="8" t="s">
        <v>40</v>
      </c>
      <c r="B5" s="8" t="s">
        <v>41</v>
      </c>
      <c r="C5" s="8"/>
      <c r="D5" s="8" t="s">
        <v>3</v>
      </c>
      <c r="E5">
        <f t="shared" si="1"/>
        <v>4</v>
      </c>
      <c r="F5" t="s">
        <v>27</v>
      </c>
      <c r="G5" t="s">
        <v>42</v>
      </c>
      <c r="H5" s="1">
        <f>보험손익!B13</f>
        <v>1297508</v>
      </c>
      <c r="K5" s="1"/>
    </row>
    <row r="6" spans="1:12" x14ac:dyDescent="0.6">
      <c r="A6" s="8" t="s">
        <v>40</v>
      </c>
      <c r="B6" s="8" t="s">
        <v>41</v>
      </c>
      <c r="C6" s="8"/>
      <c r="D6" s="8" t="s">
        <v>3</v>
      </c>
      <c r="E6">
        <f t="shared" si="1"/>
        <v>5</v>
      </c>
      <c r="F6" t="s">
        <v>28</v>
      </c>
      <c r="G6" t="s">
        <v>42</v>
      </c>
      <c r="H6" s="1">
        <f>보험손익!B12</f>
        <v>135863</v>
      </c>
      <c r="K6" s="1"/>
    </row>
    <row r="7" spans="1:12" x14ac:dyDescent="0.6">
      <c r="A7" s="8" t="s">
        <v>40</v>
      </c>
      <c r="B7" s="8" t="s">
        <v>41</v>
      </c>
      <c r="C7" s="8"/>
      <c r="D7" s="8" t="s">
        <v>3</v>
      </c>
      <c r="E7">
        <f t="shared" si="1"/>
        <v>6</v>
      </c>
      <c r="F7" t="s">
        <v>29</v>
      </c>
      <c r="G7" t="s">
        <v>42</v>
      </c>
      <c r="H7" s="1">
        <f>보험손익!B7+보험손익!B9+보험손익!B10+보험손익!B11-보험손익!B25-보험손익!B28-보험손익!B29-보험손익!B30</f>
        <v>-3242</v>
      </c>
      <c r="K7" s="1"/>
    </row>
    <row r="8" spans="1:12" x14ac:dyDescent="0.6">
      <c r="A8" s="8" t="s">
        <v>40</v>
      </c>
      <c r="B8" s="8" t="s">
        <v>41</v>
      </c>
      <c r="C8" s="8"/>
      <c r="D8" s="8" t="s">
        <v>26</v>
      </c>
      <c r="E8">
        <f t="shared" ref="E8:E25" si="2">E7+1</f>
        <v>7</v>
      </c>
      <c r="F8" t="s">
        <v>30</v>
      </c>
      <c r="G8" t="s">
        <v>42</v>
      </c>
      <c r="H8" s="1">
        <f>H4-SUM(H5:H7)</f>
        <v>56559</v>
      </c>
      <c r="K8" s="1"/>
    </row>
    <row r="9" spans="1:12" x14ac:dyDescent="0.6">
      <c r="A9" s="8" t="s">
        <v>40</v>
      </c>
      <c r="B9" s="8" t="s">
        <v>41</v>
      </c>
      <c r="C9" s="8"/>
      <c r="D9" s="8" t="s">
        <v>26</v>
      </c>
      <c r="E9">
        <f t="shared" si="2"/>
        <v>8</v>
      </c>
      <c r="F9" t="s">
        <v>25</v>
      </c>
      <c r="G9" t="s">
        <v>42</v>
      </c>
      <c r="H9" s="1">
        <f>보험손익!B56-보험손익!B69</f>
        <v>-67013</v>
      </c>
      <c r="K9" s="1"/>
    </row>
    <row r="10" spans="1:12" x14ac:dyDescent="0.6">
      <c r="A10" s="8" t="s">
        <v>40</v>
      </c>
      <c r="B10" s="8" t="s">
        <v>41</v>
      </c>
      <c r="C10" s="8"/>
      <c r="D10" s="8" t="s">
        <v>26</v>
      </c>
      <c r="E10">
        <f t="shared" si="2"/>
        <v>9</v>
      </c>
      <c r="F10" t="s">
        <v>31</v>
      </c>
      <c r="G10" t="s">
        <v>42</v>
      </c>
      <c r="H10" s="1">
        <f>-보험손익!B65</f>
        <v>-10861</v>
      </c>
      <c r="K10" s="1"/>
    </row>
    <row r="11" spans="1:12" x14ac:dyDescent="0.6">
      <c r="A11" s="8" t="s">
        <v>40</v>
      </c>
      <c r="B11" s="8" t="s">
        <v>41</v>
      </c>
      <c r="C11" s="8"/>
      <c r="D11" s="8" t="s">
        <v>26</v>
      </c>
      <c r="E11">
        <f t="shared" si="2"/>
        <v>10</v>
      </c>
      <c r="F11" t="s">
        <v>32</v>
      </c>
      <c r="G11" t="s">
        <v>42</v>
      </c>
      <c r="H11" s="1">
        <f>-보험손익!B64</f>
        <v>-3845</v>
      </c>
      <c r="K11" s="1"/>
    </row>
    <row r="12" spans="1:12" x14ac:dyDescent="0.6">
      <c r="A12" s="8" t="s">
        <v>40</v>
      </c>
      <c r="B12" s="8" t="s">
        <v>41</v>
      </c>
      <c r="C12" s="8"/>
      <c r="D12" s="8" t="s">
        <v>26</v>
      </c>
      <c r="E12">
        <f t="shared" si="2"/>
        <v>11</v>
      </c>
      <c r="F12" t="s">
        <v>33</v>
      </c>
      <c r="G12" t="s">
        <v>42</v>
      </c>
      <c r="H12" s="1">
        <f>보험손익!B50+보험손익!B51-보험손익!B62-보험손익!B63</f>
        <v>-67233</v>
      </c>
      <c r="K12" s="1"/>
    </row>
    <row r="13" spans="1:12" x14ac:dyDescent="0.6">
      <c r="A13" s="8" t="s">
        <v>40</v>
      </c>
      <c r="B13" s="8" t="s">
        <v>41</v>
      </c>
      <c r="C13" s="8"/>
      <c r="D13" s="8" t="s">
        <v>26</v>
      </c>
      <c r="E13">
        <f t="shared" si="2"/>
        <v>12</v>
      </c>
      <c r="F13" t="s">
        <v>34</v>
      </c>
      <c r="G13" t="s">
        <v>42</v>
      </c>
      <c r="H13" s="1">
        <f>H9-SUM(H10:H12)</f>
        <v>14926</v>
      </c>
      <c r="K13" s="1"/>
    </row>
    <row r="14" spans="1:12" x14ac:dyDescent="0.6">
      <c r="A14" s="8" t="s">
        <v>40</v>
      </c>
      <c r="B14" s="8" t="s">
        <v>41</v>
      </c>
      <c r="C14" s="8"/>
      <c r="D14" s="8" t="s">
        <v>26</v>
      </c>
      <c r="E14">
        <f t="shared" si="2"/>
        <v>13</v>
      </c>
      <c r="F14" t="s">
        <v>13</v>
      </c>
      <c r="G14" t="s">
        <v>42</v>
      </c>
      <c r="H14" s="1">
        <f>보험손익!D19-보험손익!D44-보험손익!D69+보험손익!D56</f>
        <v>192061</v>
      </c>
    </row>
    <row r="15" spans="1:12" x14ac:dyDescent="0.6">
      <c r="A15" s="8" t="s">
        <v>40</v>
      </c>
      <c r="B15" s="8" t="s">
        <v>41</v>
      </c>
      <c r="C15" s="8"/>
      <c r="D15" s="8" t="s">
        <v>3</v>
      </c>
      <c r="E15">
        <f t="shared" si="2"/>
        <v>14</v>
      </c>
      <c r="F15" t="s">
        <v>12</v>
      </c>
      <c r="G15" t="s">
        <v>42</v>
      </c>
      <c r="H15" s="1">
        <f>보험손익!C19-보험손익!C44-보험손익!C69+보험손익!C56</f>
        <v>117480</v>
      </c>
      <c r="I15" s="1"/>
    </row>
    <row r="16" spans="1:12" x14ac:dyDescent="0.6">
      <c r="A16" s="8" t="s">
        <v>40</v>
      </c>
      <c r="B16" s="8" t="s">
        <v>41</v>
      </c>
      <c r="C16" s="8"/>
      <c r="D16" s="8" t="s">
        <v>3</v>
      </c>
      <c r="E16">
        <f t="shared" si="2"/>
        <v>15</v>
      </c>
      <c r="F16" t="s">
        <v>8</v>
      </c>
      <c r="G16" t="s">
        <v>42</v>
      </c>
      <c r="H16" s="1"/>
    </row>
    <row r="17" spans="1:9" x14ac:dyDescent="0.6">
      <c r="A17" s="8" t="s">
        <v>40</v>
      </c>
      <c r="B17" s="8" t="s">
        <v>41</v>
      </c>
      <c r="C17" s="8"/>
      <c r="D17" s="8" t="s">
        <v>3</v>
      </c>
      <c r="E17">
        <f t="shared" si="2"/>
        <v>16</v>
      </c>
      <c r="F17" t="s">
        <v>7</v>
      </c>
      <c r="G17" t="s">
        <v>42</v>
      </c>
      <c r="H17" s="1">
        <v>110121.521222</v>
      </c>
    </row>
    <row r="18" spans="1:9" x14ac:dyDescent="0.6">
      <c r="A18" s="8" t="s">
        <v>40</v>
      </c>
      <c r="B18" s="8" t="s">
        <v>41</v>
      </c>
      <c r="C18" s="8"/>
      <c r="D18" s="8" t="s">
        <v>3</v>
      </c>
      <c r="E18">
        <f t="shared" si="2"/>
        <v>17</v>
      </c>
      <c r="F18" t="s">
        <v>11</v>
      </c>
      <c r="G18" t="s">
        <v>42</v>
      </c>
      <c r="H18" s="1"/>
    </row>
    <row r="19" spans="1:9" x14ac:dyDescent="0.6">
      <c r="A19" s="8" t="s">
        <v>40</v>
      </c>
      <c r="B19" s="8" t="s">
        <v>41</v>
      </c>
      <c r="C19" s="8"/>
      <c r="D19" s="8" t="s">
        <v>3</v>
      </c>
      <c r="E19">
        <f t="shared" si="2"/>
        <v>18</v>
      </c>
      <c r="F19" t="s">
        <v>10</v>
      </c>
      <c r="G19" t="s">
        <v>42</v>
      </c>
      <c r="H19" s="1"/>
    </row>
    <row r="20" spans="1:9" x14ac:dyDescent="0.6">
      <c r="A20" s="8" t="s">
        <v>40</v>
      </c>
      <c r="B20" s="8" t="s">
        <v>41</v>
      </c>
      <c r="C20" s="8"/>
      <c r="D20" s="8" t="s">
        <v>3</v>
      </c>
      <c r="E20">
        <f t="shared" si="2"/>
        <v>19</v>
      </c>
      <c r="F20" t="s">
        <v>9</v>
      </c>
      <c r="G20" t="s">
        <v>42</v>
      </c>
      <c r="H20" s="1"/>
    </row>
    <row r="21" spans="1:9" x14ac:dyDescent="0.6">
      <c r="A21" s="8" t="s">
        <v>40</v>
      </c>
      <c r="B21" s="8" t="s">
        <v>41</v>
      </c>
      <c r="C21" s="8"/>
      <c r="D21" s="8" t="s">
        <v>3</v>
      </c>
      <c r="E21">
        <f t="shared" si="2"/>
        <v>20</v>
      </c>
      <c r="F21" t="s">
        <v>1</v>
      </c>
      <c r="G21" t="s">
        <v>42</v>
      </c>
      <c r="H21" s="1"/>
    </row>
    <row r="22" spans="1:9" x14ac:dyDescent="0.6">
      <c r="A22" s="8" t="s">
        <v>40</v>
      </c>
      <c r="B22" s="8" t="s">
        <v>41</v>
      </c>
      <c r="C22" s="8"/>
      <c r="D22" s="8" t="s">
        <v>3</v>
      </c>
      <c r="E22">
        <f t="shared" si="2"/>
        <v>21</v>
      </c>
      <c r="F22" t="s">
        <v>6</v>
      </c>
      <c r="G22" t="s">
        <v>42</v>
      </c>
      <c r="H22" s="1"/>
    </row>
    <row r="23" spans="1:9" x14ac:dyDescent="0.6">
      <c r="A23" s="8" t="s">
        <v>40</v>
      </c>
      <c r="B23" s="8" t="s">
        <v>41</v>
      </c>
      <c r="C23" s="8"/>
      <c r="D23" s="8" t="s">
        <v>3</v>
      </c>
      <c r="E23">
        <f t="shared" si="2"/>
        <v>22</v>
      </c>
      <c r="F23" t="s">
        <v>5</v>
      </c>
      <c r="G23" t="s">
        <v>42</v>
      </c>
      <c r="H23" s="1"/>
    </row>
    <row r="24" spans="1:9" x14ac:dyDescent="0.6">
      <c r="A24" s="8" t="s">
        <v>40</v>
      </c>
      <c r="B24" s="8" t="s">
        <v>41</v>
      </c>
      <c r="C24" s="8"/>
      <c r="D24" s="8" t="s">
        <v>3</v>
      </c>
      <c r="E24">
        <f t="shared" si="2"/>
        <v>23</v>
      </c>
      <c r="F24" t="s">
        <v>4</v>
      </c>
      <c r="G24" t="s">
        <v>42</v>
      </c>
      <c r="H24" s="1"/>
    </row>
    <row r="25" spans="1:9" x14ac:dyDescent="0.6">
      <c r="A25" s="8" t="s">
        <v>40</v>
      </c>
      <c r="B25" s="8" t="s">
        <v>41</v>
      </c>
      <c r="C25" s="8"/>
      <c r="D25" s="8" t="s">
        <v>3</v>
      </c>
      <c r="E25">
        <f t="shared" si="2"/>
        <v>24</v>
      </c>
      <c r="F25" t="s">
        <v>2</v>
      </c>
      <c r="G25" t="s">
        <v>42</v>
      </c>
      <c r="H25" s="1"/>
      <c r="I25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4DA82-6A21-44FC-86F1-F467AB2ECEED}">
  <dimension ref="A1:E70"/>
  <sheetViews>
    <sheetView tabSelected="1" zoomScaleNormal="100" workbookViewId="0">
      <pane xSplit="1" ySplit="1" topLeftCell="B2" activePane="bottomRight" state="frozen"/>
      <selection pane="topRight" activeCell="D1" sqref="D1"/>
      <selection pane="bottomLeft" activeCell="A2" sqref="A2"/>
      <selection pane="bottomRight"/>
    </sheetView>
  </sheetViews>
  <sheetFormatPr defaultRowHeight="16.899999999999999" x14ac:dyDescent="0.6"/>
  <cols>
    <col min="1" max="1" width="19.75" bestFit="1" customWidth="1"/>
    <col min="2" max="5" width="10.8125" bestFit="1" customWidth="1"/>
  </cols>
  <sheetData>
    <row r="1" spans="1:5" ht="21.4" x14ac:dyDescent="0.6">
      <c r="A1" s="11" t="s">
        <v>43</v>
      </c>
    </row>
    <row r="2" spans="1:5" x14ac:dyDescent="0.6">
      <c r="A2" s="10"/>
    </row>
    <row r="3" spans="1:5" ht="28.5" x14ac:dyDescent="0.6">
      <c r="A3" s="11" t="s">
        <v>44</v>
      </c>
    </row>
    <row r="4" spans="1:5" ht="27" x14ac:dyDescent="0.6">
      <c r="A4" s="12" t="s">
        <v>45</v>
      </c>
      <c r="B4" s="13" t="s">
        <v>46</v>
      </c>
    </row>
    <row r="5" spans="1:5" x14ac:dyDescent="0.6">
      <c r="A5" s="9" t="s">
        <v>47</v>
      </c>
      <c r="B5" s="14" t="s">
        <v>48</v>
      </c>
      <c r="C5" s="14" t="s">
        <v>49</v>
      </c>
      <c r="D5" s="14" t="s">
        <v>50</v>
      </c>
      <c r="E5" s="15" t="s">
        <v>51</v>
      </c>
    </row>
    <row r="6" spans="1:5" x14ac:dyDescent="0.3">
      <c r="A6" s="16" t="s">
        <v>52</v>
      </c>
      <c r="B6" s="3"/>
      <c r="C6" s="3"/>
      <c r="D6" s="3"/>
      <c r="E6" s="7"/>
    </row>
    <row r="7" spans="1:5" ht="27" x14ac:dyDescent="0.3">
      <c r="A7" s="16" t="s">
        <v>53</v>
      </c>
      <c r="B7" s="2">
        <v>4810591</v>
      </c>
      <c r="C7" s="3" t="s">
        <v>84</v>
      </c>
      <c r="D7" s="3" t="s">
        <v>84</v>
      </c>
      <c r="E7" s="4">
        <v>4810591</v>
      </c>
    </row>
    <row r="8" spans="1:5" ht="17" customHeight="1" x14ac:dyDescent="0.3">
      <c r="A8" s="16" t="s">
        <v>35</v>
      </c>
      <c r="B8" s="2">
        <v>1607902</v>
      </c>
      <c r="C8" s="3" t="s">
        <v>84</v>
      </c>
      <c r="D8" s="3" t="s">
        <v>84</v>
      </c>
      <c r="E8" s="4">
        <v>1607902</v>
      </c>
    </row>
    <row r="9" spans="1:5" ht="27" x14ac:dyDescent="0.3">
      <c r="A9" s="16" t="s">
        <v>54</v>
      </c>
      <c r="B9" s="2">
        <v>428648</v>
      </c>
      <c r="C9" s="3" t="s">
        <v>84</v>
      </c>
      <c r="D9" s="3" t="s">
        <v>84</v>
      </c>
      <c r="E9" s="4">
        <v>428648</v>
      </c>
    </row>
    <row r="10" spans="1:5" ht="27" x14ac:dyDescent="0.3">
      <c r="A10" s="16" t="s">
        <v>55</v>
      </c>
      <c r="B10" s="2">
        <v>194417</v>
      </c>
      <c r="C10" s="3" t="s">
        <v>84</v>
      </c>
      <c r="D10" s="3" t="s">
        <v>84</v>
      </c>
      <c r="E10" s="4">
        <v>194417</v>
      </c>
    </row>
    <row r="11" spans="1:5" ht="27" x14ac:dyDescent="0.3">
      <c r="A11" s="16" t="s">
        <v>56</v>
      </c>
      <c r="B11" s="2">
        <v>26729</v>
      </c>
      <c r="C11" s="3" t="s">
        <v>84</v>
      </c>
      <c r="D11" s="3" t="s">
        <v>84</v>
      </c>
      <c r="E11" s="4">
        <v>26729</v>
      </c>
    </row>
    <row r="12" spans="1:5" ht="54" x14ac:dyDescent="0.3">
      <c r="A12" s="16" t="s">
        <v>57</v>
      </c>
      <c r="B12" s="2">
        <v>135863</v>
      </c>
      <c r="C12" s="3" t="s">
        <v>84</v>
      </c>
      <c r="D12" s="3" t="s">
        <v>84</v>
      </c>
      <c r="E12" s="4">
        <v>135863</v>
      </c>
    </row>
    <row r="13" spans="1:5" ht="27" x14ac:dyDescent="0.3">
      <c r="A13" s="16" t="s">
        <v>58</v>
      </c>
      <c r="B13" s="2">
        <v>1297508</v>
      </c>
      <c r="C13" s="3" t="s">
        <v>84</v>
      </c>
      <c r="D13" s="3" t="s">
        <v>84</v>
      </c>
      <c r="E13" s="4">
        <v>1297508</v>
      </c>
    </row>
    <row r="14" spans="1:5" ht="27" x14ac:dyDescent="0.3">
      <c r="A14" s="16" t="s">
        <v>59</v>
      </c>
      <c r="B14" s="2">
        <v>-97495</v>
      </c>
      <c r="C14" s="3" t="s">
        <v>84</v>
      </c>
      <c r="D14" s="3" t="s">
        <v>84</v>
      </c>
      <c r="E14" s="4">
        <v>-97495</v>
      </c>
    </row>
    <row r="15" spans="1:5" ht="54" x14ac:dyDescent="0.3">
      <c r="A15" s="16" t="s">
        <v>60</v>
      </c>
      <c r="B15" s="3" t="s">
        <v>84</v>
      </c>
      <c r="C15" s="2">
        <v>2015556</v>
      </c>
      <c r="D15" s="2">
        <v>4220832</v>
      </c>
      <c r="E15" s="4">
        <v>6236388</v>
      </c>
    </row>
    <row r="16" spans="1:5" ht="27" x14ac:dyDescent="0.6">
      <c r="A16" s="17" t="s">
        <v>61</v>
      </c>
      <c r="B16" s="2">
        <v>8404163</v>
      </c>
      <c r="C16" s="2">
        <v>2015556</v>
      </c>
      <c r="D16" s="2">
        <v>4220832</v>
      </c>
      <c r="E16" s="4">
        <v>14640551</v>
      </c>
    </row>
    <row r="17" spans="1:5" x14ac:dyDescent="0.3">
      <c r="A17" s="16" t="s">
        <v>62</v>
      </c>
      <c r="B17" s="3"/>
      <c r="C17" s="3"/>
      <c r="D17" s="3"/>
      <c r="E17" s="7"/>
    </row>
    <row r="18" spans="1:5" ht="54" x14ac:dyDescent="0.3">
      <c r="A18" s="16" t="s">
        <v>60</v>
      </c>
      <c r="B18" s="3" t="s">
        <v>84</v>
      </c>
      <c r="C18" s="2">
        <v>115575</v>
      </c>
      <c r="D18" s="3" t="s">
        <v>84</v>
      </c>
      <c r="E18" s="4">
        <v>115575</v>
      </c>
    </row>
    <row r="19" spans="1:5" ht="27" x14ac:dyDescent="0.6">
      <c r="A19" s="18" t="s">
        <v>51</v>
      </c>
      <c r="B19" s="5">
        <v>8404163</v>
      </c>
      <c r="C19" s="5">
        <v>2131131</v>
      </c>
      <c r="D19" s="5">
        <v>4220832</v>
      </c>
      <c r="E19" s="6">
        <v>14756126</v>
      </c>
    </row>
    <row r="20" spans="1:5" x14ac:dyDescent="0.6">
      <c r="A20" s="19"/>
    </row>
    <row r="21" spans="1:5" x14ac:dyDescent="0.6">
      <c r="A21" s="11" t="s">
        <v>63</v>
      </c>
    </row>
    <row r="22" spans="1:5" ht="27" x14ac:dyDescent="0.6">
      <c r="A22" s="12" t="s">
        <v>45</v>
      </c>
      <c r="B22" s="13" t="s">
        <v>46</v>
      </c>
    </row>
    <row r="23" spans="1:5" x14ac:dyDescent="0.6">
      <c r="A23" s="9" t="s">
        <v>47</v>
      </c>
      <c r="B23" s="14" t="s">
        <v>48</v>
      </c>
      <c r="C23" s="14" t="s">
        <v>49</v>
      </c>
      <c r="D23" s="14" t="s">
        <v>50</v>
      </c>
      <c r="E23" s="15" t="s">
        <v>51</v>
      </c>
    </row>
    <row r="24" spans="1:5" x14ac:dyDescent="0.3">
      <c r="A24" s="16" t="s">
        <v>52</v>
      </c>
      <c r="B24" s="3"/>
      <c r="C24" s="3"/>
      <c r="D24" s="3"/>
      <c r="E24" s="7"/>
    </row>
    <row r="25" spans="1:5" ht="27" x14ac:dyDescent="0.3">
      <c r="A25" s="16" t="s">
        <v>64</v>
      </c>
      <c r="B25" s="2">
        <v>4767571</v>
      </c>
      <c r="C25" s="2">
        <v>1144072</v>
      </c>
      <c r="D25" s="2">
        <v>3255468</v>
      </c>
      <c r="E25" s="4">
        <v>9167111</v>
      </c>
    </row>
    <row r="26" spans="1:5" ht="40.5" x14ac:dyDescent="0.3">
      <c r="A26" s="16" t="s">
        <v>35</v>
      </c>
      <c r="B26" s="2">
        <v>1607902</v>
      </c>
      <c r="C26" s="2">
        <v>366422</v>
      </c>
      <c r="D26" s="3" t="s">
        <v>84</v>
      </c>
      <c r="E26" s="4">
        <v>1974324</v>
      </c>
    </row>
    <row r="27" spans="1:5" ht="40.5" x14ac:dyDescent="0.3">
      <c r="A27" s="16" t="s">
        <v>65</v>
      </c>
      <c r="B27" s="3" t="s">
        <v>84</v>
      </c>
      <c r="C27" s="2">
        <v>4720</v>
      </c>
      <c r="D27" s="2">
        <v>443019</v>
      </c>
      <c r="E27" s="4">
        <v>447739</v>
      </c>
    </row>
    <row r="28" spans="1:5" ht="27" x14ac:dyDescent="0.3">
      <c r="A28" s="16" t="s">
        <v>66</v>
      </c>
      <c r="B28" s="2">
        <v>452628</v>
      </c>
      <c r="C28" s="2">
        <v>41054</v>
      </c>
      <c r="D28" s="2">
        <v>159651</v>
      </c>
      <c r="E28" s="4">
        <v>653333</v>
      </c>
    </row>
    <row r="29" spans="1:5" ht="27" x14ac:dyDescent="0.3">
      <c r="A29" s="16" t="s">
        <v>67</v>
      </c>
      <c r="B29" s="2">
        <v>228519</v>
      </c>
      <c r="C29" s="2">
        <v>155724</v>
      </c>
      <c r="D29" s="2">
        <v>284614</v>
      </c>
      <c r="E29" s="4">
        <v>668857</v>
      </c>
    </row>
    <row r="30" spans="1:5" ht="27" x14ac:dyDescent="0.3">
      <c r="A30" s="16" t="s">
        <v>68</v>
      </c>
      <c r="B30" s="2">
        <v>14909</v>
      </c>
      <c r="C30" s="3" t="s">
        <v>84</v>
      </c>
      <c r="D30" s="3" t="s">
        <v>84</v>
      </c>
      <c r="E30" s="4">
        <v>14909</v>
      </c>
    </row>
    <row r="31" spans="1:5" ht="54" x14ac:dyDescent="0.3">
      <c r="A31" s="16" t="s">
        <v>36</v>
      </c>
      <c r="B31" s="2">
        <v>118611</v>
      </c>
      <c r="C31" s="2">
        <v>1242</v>
      </c>
      <c r="D31" s="3">
        <v>39</v>
      </c>
      <c r="E31" s="4">
        <v>119892</v>
      </c>
    </row>
    <row r="32" spans="1:5" ht="27" x14ac:dyDescent="0.3">
      <c r="A32" s="16" t="s">
        <v>37</v>
      </c>
      <c r="B32" s="2">
        <v>-176889</v>
      </c>
      <c r="C32" s="2">
        <v>-327771</v>
      </c>
      <c r="D32" s="2">
        <v>-113483</v>
      </c>
      <c r="E32" s="4">
        <v>-618143</v>
      </c>
    </row>
    <row r="33" spans="1:5" ht="27" x14ac:dyDescent="0.3">
      <c r="A33" s="16" t="s">
        <v>59</v>
      </c>
      <c r="B33" s="2">
        <v>-97495</v>
      </c>
      <c r="C33" s="3" t="s">
        <v>84</v>
      </c>
      <c r="D33" s="3" t="s">
        <v>84</v>
      </c>
      <c r="E33" s="4">
        <v>-97495</v>
      </c>
    </row>
    <row r="34" spans="1:5" ht="40.5" x14ac:dyDescent="0.3">
      <c r="A34" s="16" t="s">
        <v>69</v>
      </c>
      <c r="B34" s="2">
        <v>1719</v>
      </c>
      <c r="C34" s="3" t="s">
        <v>84</v>
      </c>
      <c r="D34" s="3" t="s">
        <v>84</v>
      </c>
      <c r="E34" s="4">
        <v>1719</v>
      </c>
    </row>
    <row r="35" spans="1:5" ht="27" x14ac:dyDescent="0.6">
      <c r="A35" s="17" t="s">
        <v>61</v>
      </c>
      <c r="B35" s="2">
        <v>6917475</v>
      </c>
      <c r="C35" s="2">
        <v>1385463</v>
      </c>
      <c r="D35" s="2">
        <v>4029308</v>
      </c>
      <c r="E35" s="4">
        <v>12332246</v>
      </c>
    </row>
    <row r="36" spans="1:5" x14ac:dyDescent="0.3">
      <c r="A36" s="16" t="s">
        <v>62</v>
      </c>
      <c r="B36" s="20"/>
      <c r="C36" s="20"/>
      <c r="D36" s="20"/>
      <c r="E36" s="21"/>
    </row>
    <row r="37" spans="1:5" ht="27" x14ac:dyDescent="0.3">
      <c r="A37" s="16" t="s">
        <v>70</v>
      </c>
      <c r="B37" s="3" t="s">
        <v>84</v>
      </c>
      <c r="C37" s="2">
        <v>337285</v>
      </c>
      <c r="D37" s="3" t="s">
        <v>84</v>
      </c>
      <c r="E37" s="4">
        <v>337285</v>
      </c>
    </row>
    <row r="38" spans="1:5" ht="27" x14ac:dyDescent="0.3">
      <c r="A38" s="16" t="s">
        <v>71</v>
      </c>
      <c r="B38" s="3" t="s">
        <v>84</v>
      </c>
      <c r="C38" s="3">
        <v>558</v>
      </c>
      <c r="D38" s="3" t="s">
        <v>84</v>
      </c>
      <c r="E38" s="7">
        <v>558</v>
      </c>
    </row>
    <row r="39" spans="1:5" ht="27" x14ac:dyDescent="0.3">
      <c r="A39" s="16" t="s">
        <v>72</v>
      </c>
      <c r="B39" s="3" t="s">
        <v>84</v>
      </c>
      <c r="C39" s="3">
        <v>644</v>
      </c>
      <c r="D39" s="3" t="s">
        <v>84</v>
      </c>
      <c r="E39" s="7">
        <v>644</v>
      </c>
    </row>
    <row r="40" spans="1:5" ht="27" x14ac:dyDescent="0.3">
      <c r="A40" s="16" t="s">
        <v>73</v>
      </c>
      <c r="B40" s="3" t="s">
        <v>84</v>
      </c>
      <c r="C40" s="3">
        <v>216</v>
      </c>
      <c r="D40" s="3" t="s">
        <v>84</v>
      </c>
      <c r="E40" s="7">
        <v>216</v>
      </c>
    </row>
    <row r="41" spans="1:5" ht="54" x14ac:dyDescent="0.3">
      <c r="A41" s="16" t="s">
        <v>36</v>
      </c>
      <c r="B41" s="3" t="s">
        <v>84</v>
      </c>
      <c r="C41" s="3">
        <v>-362</v>
      </c>
      <c r="D41" s="3" t="s">
        <v>84</v>
      </c>
      <c r="E41" s="7">
        <v>-362</v>
      </c>
    </row>
    <row r="42" spans="1:5" ht="28.8" customHeight="1" x14ac:dyDescent="0.3">
      <c r="A42" s="16" t="s">
        <v>37</v>
      </c>
      <c r="B42" s="3" t="s">
        <v>84</v>
      </c>
      <c r="C42" s="2">
        <v>-249903</v>
      </c>
      <c r="D42" s="3" t="s">
        <v>84</v>
      </c>
      <c r="E42" s="4">
        <v>-249903</v>
      </c>
    </row>
    <row r="43" spans="1:5" x14ac:dyDescent="0.6">
      <c r="A43" s="17" t="s">
        <v>61</v>
      </c>
      <c r="B43" s="3" t="s">
        <v>84</v>
      </c>
      <c r="C43" s="2">
        <v>88438</v>
      </c>
      <c r="D43" s="3" t="s">
        <v>84</v>
      </c>
      <c r="E43" s="4">
        <v>88438</v>
      </c>
    </row>
    <row r="44" spans="1:5" ht="27" x14ac:dyDescent="0.6">
      <c r="A44" s="18" t="s">
        <v>51</v>
      </c>
      <c r="B44" s="5">
        <v>6917475</v>
      </c>
      <c r="C44" s="5">
        <v>1473901</v>
      </c>
      <c r="D44" s="5">
        <v>4029308</v>
      </c>
      <c r="E44" s="6">
        <v>12420684</v>
      </c>
    </row>
    <row r="45" spans="1:5" x14ac:dyDescent="0.6">
      <c r="A45" s="19"/>
    </row>
    <row r="47" spans="1:5" ht="35.65" x14ac:dyDescent="0.6">
      <c r="A47" s="11" t="s">
        <v>74</v>
      </c>
    </row>
    <row r="48" spans="1:5" ht="27" x14ac:dyDescent="0.6">
      <c r="A48" s="12" t="s">
        <v>45</v>
      </c>
      <c r="B48" s="13" t="s">
        <v>46</v>
      </c>
    </row>
    <row r="49" spans="1:5" x14ac:dyDescent="0.6">
      <c r="A49" s="9" t="s">
        <v>47</v>
      </c>
      <c r="B49" s="14" t="s">
        <v>48</v>
      </c>
      <c r="C49" s="14" t="s">
        <v>49</v>
      </c>
      <c r="D49" s="14" t="s">
        <v>50</v>
      </c>
      <c r="E49" s="15" t="s">
        <v>51</v>
      </c>
    </row>
    <row r="50" spans="1:5" ht="54" x14ac:dyDescent="0.3">
      <c r="A50" s="16" t="s">
        <v>75</v>
      </c>
      <c r="B50" s="2">
        <v>82428</v>
      </c>
      <c r="C50" s="2">
        <v>199791</v>
      </c>
      <c r="D50" s="3">
        <v>424</v>
      </c>
      <c r="E50" s="4">
        <v>282643</v>
      </c>
    </row>
    <row r="51" spans="1:5" ht="27" x14ac:dyDescent="0.3">
      <c r="A51" s="16" t="s">
        <v>76</v>
      </c>
      <c r="B51" s="2">
        <v>9384</v>
      </c>
      <c r="C51" s="2">
        <v>30620</v>
      </c>
      <c r="D51" s="3" t="s">
        <v>84</v>
      </c>
      <c r="E51" s="4">
        <v>40004</v>
      </c>
    </row>
    <row r="52" spans="1:5" ht="40.5" x14ac:dyDescent="0.3">
      <c r="A52" s="16" t="s">
        <v>38</v>
      </c>
      <c r="B52" s="3">
        <v>-147</v>
      </c>
      <c r="C52" s="3">
        <v>455</v>
      </c>
      <c r="D52" s="3" t="s">
        <v>84</v>
      </c>
      <c r="E52" s="7">
        <v>308</v>
      </c>
    </row>
    <row r="53" spans="1:5" ht="27" x14ac:dyDescent="0.3">
      <c r="A53" s="16" t="s">
        <v>39</v>
      </c>
      <c r="B53" s="2">
        <v>-49966</v>
      </c>
      <c r="C53" s="2">
        <v>-12443</v>
      </c>
      <c r="D53" s="2">
        <v>8589</v>
      </c>
      <c r="E53" s="4">
        <v>-53820</v>
      </c>
    </row>
    <row r="54" spans="1:5" ht="54" x14ac:dyDescent="0.3">
      <c r="A54" s="16" t="s">
        <v>57</v>
      </c>
      <c r="B54" s="3">
        <v>-195</v>
      </c>
      <c r="C54" s="3" t="s">
        <v>84</v>
      </c>
      <c r="D54" s="3" t="s">
        <v>84</v>
      </c>
      <c r="E54" s="7">
        <v>-195</v>
      </c>
    </row>
    <row r="55" spans="1:5" ht="27" x14ac:dyDescent="0.3">
      <c r="A55" s="16" t="s">
        <v>77</v>
      </c>
      <c r="B55" s="2">
        <v>27318</v>
      </c>
      <c r="C55" s="3" t="s">
        <v>84</v>
      </c>
      <c r="D55" s="3" t="s">
        <v>84</v>
      </c>
      <c r="E55" s="4">
        <v>27318</v>
      </c>
    </row>
    <row r="56" spans="1:5" x14ac:dyDescent="0.6">
      <c r="A56" s="18" t="s">
        <v>51</v>
      </c>
      <c r="B56" s="5">
        <v>68822</v>
      </c>
      <c r="C56" s="5">
        <v>218423</v>
      </c>
      <c r="D56" s="5">
        <v>9013</v>
      </c>
      <c r="E56" s="6">
        <v>296258</v>
      </c>
    </row>
    <row r="57" spans="1:5" x14ac:dyDescent="0.6">
      <c r="A57" s="19"/>
    </row>
    <row r="59" spans="1:5" ht="35.65" x14ac:dyDescent="0.6">
      <c r="A59" s="11" t="s">
        <v>78</v>
      </c>
    </row>
    <row r="60" spans="1:5" ht="27" x14ac:dyDescent="0.6">
      <c r="A60" s="12" t="s">
        <v>45</v>
      </c>
      <c r="B60" s="13" t="s">
        <v>46</v>
      </c>
    </row>
    <row r="61" spans="1:5" x14ac:dyDescent="0.6">
      <c r="A61" s="9" t="s">
        <v>47</v>
      </c>
      <c r="B61" s="14" t="s">
        <v>48</v>
      </c>
      <c r="C61" s="14" t="s">
        <v>49</v>
      </c>
      <c r="D61" s="14" t="s">
        <v>50</v>
      </c>
      <c r="E61" s="15" t="s">
        <v>51</v>
      </c>
    </row>
    <row r="62" spans="1:5" ht="67.5" x14ac:dyDescent="0.3">
      <c r="A62" s="16" t="s">
        <v>79</v>
      </c>
      <c r="B62" s="2">
        <v>143966</v>
      </c>
      <c r="C62" s="3" t="s">
        <v>84</v>
      </c>
      <c r="D62" s="3" t="s">
        <v>84</v>
      </c>
      <c r="E62" s="4">
        <v>143966</v>
      </c>
    </row>
    <row r="63" spans="1:5" ht="40.5" x14ac:dyDescent="0.3">
      <c r="A63" s="16" t="s">
        <v>80</v>
      </c>
      <c r="B63" s="2">
        <v>15079</v>
      </c>
      <c r="C63" s="3" t="s">
        <v>84</v>
      </c>
      <c r="D63" s="3" t="s">
        <v>84</v>
      </c>
      <c r="E63" s="4">
        <v>15079</v>
      </c>
    </row>
    <row r="64" spans="1:5" ht="54" x14ac:dyDescent="0.3">
      <c r="A64" s="16" t="s">
        <v>57</v>
      </c>
      <c r="B64" s="2">
        <v>3845</v>
      </c>
      <c r="C64" s="3" t="s">
        <v>84</v>
      </c>
      <c r="D64" s="3" t="s">
        <v>84</v>
      </c>
      <c r="E64" s="4">
        <v>3845</v>
      </c>
    </row>
    <row r="65" spans="1:5" ht="27" x14ac:dyDescent="0.3">
      <c r="A65" s="16" t="s">
        <v>58</v>
      </c>
      <c r="B65" s="2">
        <v>10861</v>
      </c>
      <c r="C65" s="3" t="s">
        <v>84</v>
      </c>
      <c r="D65" s="3" t="s">
        <v>84</v>
      </c>
      <c r="E65" s="4">
        <v>10861</v>
      </c>
    </row>
    <row r="66" spans="1:5" ht="27" x14ac:dyDescent="0.3">
      <c r="A66" s="16" t="s">
        <v>81</v>
      </c>
      <c r="B66" s="3">
        <v>-195</v>
      </c>
      <c r="C66" s="3" t="s">
        <v>84</v>
      </c>
      <c r="D66" s="3" t="s">
        <v>84</v>
      </c>
      <c r="E66" s="7">
        <v>-195</v>
      </c>
    </row>
    <row r="67" spans="1:5" ht="54" x14ac:dyDescent="0.3">
      <c r="A67" s="16" t="s">
        <v>82</v>
      </c>
      <c r="B67" s="3" t="s">
        <v>84</v>
      </c>
      <c r="C67" s="2">
        <v>758173</v>
      </c>
      <c r="D67" s="2">
        <v>8476</v>
      </c>
      <c r="E67" s="4">
        <v>766649</v>
      </c>
    </row>
    <row r="68" spans="1:5" ht="27" x14ac:dyDescent="0.3">
      <c r="A68" s="16" t="s">
        <v>83</v>
      </c>
      <c r="B68" s="2">
        <v>-37721</v>
      </c>
      <c r="C68" s="3" t="s">
        <v>84</v>
      </c>
      <c r="D68" s="3" t="s">
        <v>84</v>
      </c>
      <c r="E68" s="4">
        <v>-37721</v>
      </c>
    </row>
    <row r="69" spans="1:5" x14ac:dyDescent="0.6">
      <c r="A69" s="18" t="s">
        <v>51</v>
      </c>
      <c r="B69" s="5">
        <v>135835</v>
      </c>
      <c r="C69" s="5">
        <v>758173</v>
      </c>
      <c r="D69" s="5">
        <v>8476</v>
      </c>
      <c r="E69" s="6">
        <v>902484</v>
      </c>
    </row>
    <row r="70" spans="1:5" x14ac:dyDescent="0.6">
      <c r="A70" s="19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보험손익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조상욱(Sang Wook Cho)</dc:creator>
  <cp:lastModifiedBy>조상욱(Sang Wook Cho)</cp:lastModifiedBy>
  <dcterms:created xsi:type="dcterms:W3CDTF">2026-06-01T12:02:49Z</dcterms:created>
  <dcterms:modified xsi:type="dcterms:W3CDTF">2026-06-06T07:05:33Z</dcterms:modified>
</cp:coreProperties>
</file>