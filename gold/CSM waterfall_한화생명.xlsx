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22B21133-1CAA-44D9-967E-B85C346B7F04}" xr6:coauthVersionLast="47" xr6:coauthVersionMax="47" xr10:uidLastSave="{00000000-0000-0000-0000-000000000000}"/>
  <bookViews>
    <workbookView xWindow="-83" yWindow="0" windowWidth="10965" windowHeight="13223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H7" i="2"/>
  <c r="H6" i="2"/>
  <c r="H4" i="2"/>
  <c r="H3" i="2"/>
  <c r="H2" i="2"/>
</calcChain>
</file>

<file path=xl/sharedStrings.xml><?xml version="1.0" encoding="utf-8"?>
<sst xmlns="http://schemas.openxmlformats.org/spreadsheetml/2006/main" count="74" uniqueCount="53">
  <si>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</si>
  <si>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</si>
  <si>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</si>
  <si>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</si>
  <si>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</si>
  <si>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</si>
  <si>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</si>
  <si>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</si>
  <si>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</si>
  <si>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</si>
  <si>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</si>
  <si>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</si>
  <si>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</si>
  <si>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</si>
  <si>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</si>
  <si>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당기</t>
  </si>
  <si>
    <t>보험계약의 세분</t>
  </si>
  <si>
    <t>발행한 보험계약</t>
  </si>
  <si>
    <t>구성요소별 보험계약</t>
  </si>
  <si>
    <t>구성요소별 보험계약  합계</t>
  </si>
  <si>
    <t>미래 현금흐름의 현재가치 추정치</t>
  </si>
  <si>
    <t>비금융위험에 대한 위험조정</t>
  </si>
  <si>
    <t>생명보험</t>
    <phoneticPr fontId="2" type="noConversion"/>
  </si>
  <si>
    <t>(단위 : 백만원)</t>
  </si>
  <si>
    <t>보험서비스결과</t>
  </si>
  <si>
    <t>현행서비스 관련 변동</t>
  </si>
  <si>
    <t>미래서비스 관련 변동</t>
  </si>
  <si>
    <t>KR0068</t>
    <phoneticPr fontId="2" type="noConversion"/>
  </si>
  <si>
    <t>한화생명</t>
    <phoneticPr fontId="2" type="noConversion"/>
  </si>
  <si>
    <t>보험계약</t>
  </si>
  <si>
    <t>보험료배분접근법을 적용한 보험계약 외의 보험계약</t>
  </si>
  <si>
    <t>기초 보험계약부채(자산)</t>
  </si>
  <si>
    <t>자산인 보험계약의 기초 장부금액</t>
  </si>
  <si>
    <t>부채인 보험계약의 기초 장부금액</t>
  </si>
  <si>
    <t>보험금융손익</t>
  </si>
  <si>
    <t>현금흐름</t>
  </si>
  <si>
    <t>(1) 수취한 보험료</t>
  </si>
  <si>
    <t>(2) 보험취득현금흐름</t>
  </si>
  <si>
    <t>(3) 지급한 보험금과 그 밖의 보험서비스비용</t>
  </si>
  <si>
    <t>기말 보험계약부채(자산)</t>
  </si>
  <si>
    <t>자산인 보험계약의 기말 장부금액</t>
  </si>
  <si>
    <t>부채인 보험계약의 기말 장부금액</t>
  </si>
  <si>
    <t>보험계약부채(자산)의 보험계약 구성요소별 변동분에 대한 차이조정 공시</t>
  </si>
  <si>
    <t>구성요소별 차이조정을 위한 보험계약의 변동분 </t>
  </si>
  <si>
    <t>(1) 보험계약마진을 조정하는 추정치의 변동분</t>
  </si>
  <si>
    <t>(2) 손실부담계약의 손실(환입)</t>
  </si>
  <si>
    <t>(2) 비금융위험에 대한 위험조정의 변동분</t>
  </si>
  <si>
    <t>(3) 경험조정</t>
  </si>
  <si>
    <t>과거 서비스 관련 변동</t>
  </si>
  <si>
    <t>(4) 기타 현금흐름</t>
  </si>
  <si>
    <t>(3) 최초 인식한 계약의 효과</t>
  </si>
  <si>
    <t>(1) 제공한 서비스에 대해 인식한 보험계약마진</t>
  </si>
  <si>
    <t>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</si>
</sst>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0" borderId="1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L25"/>
  <sheetViews>
    <sheetView tabSelected="1" workbookViewId="0"/>
  </sheetViews>
  <sheetFormatPr defaultRowHeight="16.899999999999999" x14ac:dyDescent="0.6"/>
  <cols>
    <col min="8" max="8" width="15.1875" bestFit="1" customWidth="1"/>
  </cols>
  <sheetData>
    <row r="1" spans="1:12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52</v>
      </c>
    </row>
    <row r="2" spans="1:12" x14ac:dyDescent="0.6">
      <c r="A2" s="2" t="s">
        <v>27</v>
      </c>
      <c r="B2" s="2" t="s">
        <v>28</v>
      </c>
      <c r="C2" s="2"/>
      <c r="D2" s="2" t="s">
        <v>22</v>
      </c>
      <c r="E2" s="2">
        <v>1</v>
      </c>
      <c r="F2" s="2" t="s">
        <v>8</v>
      </c>
      <c r="G2" s="2" t="s">
        <v>7</v>
      </c>
      <c r="H2" s="1">
        <f>부문별!E9</f>
        <v>9109141</v>
      </c>
      <c r="L2" s="1"/>
    </row>
    <row r="3" spans="1:12" x14ac:dyDescent="0.6">
      <c r="A3" s="2" t="s">
        <v>27</v>
      </c>
      <c r="B3" s="2" t="s">
        <v>28</v>
      </c>
      <c r="C3" s="2"/>
      <c r="D3" s="2" t="s">
        <v>22</v>
      </c>
      <c r="E3" s="2">
        <v>2</v>
      </c>
      <c r="F3" s="2" t="s">
        <v>9</v>
      </c>
      <c r="G3" s="2" t="s">
        <v>7</v>
      </c>
      <c r="H3" s="1">
        <f>부문별!E16</f>
        <v>2066258</v>
      </c>
    </row>
    <row r="4" spans="1:12" x14ac:dyDescent="0.6">
      <c r="A4" s="2" t="s">
        <v>27</v>
      </c>
      <c r="B4" s="2" t="s">
        <v>28</v>
      </c>
      <c r="C4" s="2"/>
      <c r="D4" s="2" t="s">
        <v>22</v>
      </c>
      <c r="E4">
        <v>3</v>
      </c>
      <c r="F4" s="2" t="s">
        <v>10</v>
      </c>
      <c r="G4" t="s">
        <v>7</v>
      </c>
      <c r="H4" s="1">
        <f>부문별!E23</f>
        <v>357767</v>
      </c>
    </row>
    <row r="5" spans="1:12" x14ac:dyDescent="0.6">
      <c r="A5" s="2" t="s">
        <v>27</v>
      </c>
      <c r="B5" s="2" t="s">
        <v>28</v>
      </c>
      <c r="C5" s="2"/>
      <c r="D5" s="2" t="s">
        <v>22</v>
      </c>
      <c r="E5" s="2">
        <v>4</v>
      </c>
      <c r="F5" s="2" t="s">
        <v>14</v>
      </c>
      <c r="G5" t="s">
        <v>7</v>
      </c>
      <c r="H5" s="1">
        <f>H7-H6-H4-H3-H2</f>
        <v>-2032224</v>
      </c>
    </row>
    <row r="6" spans="1:12" x14ac:dyDescent="0.6">
      <c r="A6" s="2" t="s">
        <v>27</v>
      </c>
      <c r="B6" s="2" t="s">
        <v>28</v>
      </c>
      <c r="C6" s="2"/>
      <c r="D6" s="2" t="s">
        <v>22</v>
      </c>
      <c r="E6" s="2">
        <v>5</v>
      </c>
      <c r="F6" s="2" t="s">
        <v>11</v>
      </c>
      <c r="G6" t="s">
        <v>7</v>
      </c>
      <c r="H6" s="1">
        <f>부문별!E18</f>
        <v>-787290</v>
      </c>
    </row>
    <row r="7" spans="1:12" x14ac:dyDescent="0.6">
      <c r="A7" s="2" t="s">
        <v>27</v>
      </c>
      <c r="B7" s="2" t="s">
        <v>28</v>
      </c>
      <c r="C7" s="2"/>
      <c r="D7" s="2" t="s">
        <v>22</v>
      </c>
      <c r="E7" s="2">
        <v>6</v>
      </c>
      <c r="F7" s="2" t="s">
        <v>12</v>
      </c>
      <c r="G7" t="s">
        <v>7</v>
      </c>
      <c r="H7" s="1">
        <f>부문별!E29</f>
        <v>8713652</v>
      </c>
    </row>
    <row r="8" spans="1:12" x14ac:dyDescent="0.6">
      <c r="A8" s="2"/>
      <c r="B8" s="2"/>
      <c r="C8" s="2"/>
      <c r="D8" s="2"/>
      <c r="H8" s="1"/>
    </row>
    <row r="9" spans="1:12" x14ac:dyDescent="0.6">
      <c r="A9" s="2"/>
      <c r="B9" s="2"/>
      <c r="C9" s="2"/>
      <c r="D9" s="2"/>
    </row>
    <row r="10" spans="1:12" x14ac:dyDescent="0.6">
      <c r="A10" s="2"/>
      <c r="B10" s="2"/>
      <c r="C10" s="2"/>
      <c r="D10" s="2"/>
      <c r="H10" s="1"/>
    </row>
    <row r="11" spans="1:12" x14ac:dyDescent="0.6">
      <c r="A11" s="2"/>
      <c r="B11" s="2"/>
      <c r="C11" s="2"/>
      <c r="D11" s="2"/>
      <c r="H11" s="1"/>
    </row>
    <row r="12" spans="1:12" x14ac:dyDescent="0.6">
      <c r="A12" s="2"/>
      <c r="B12" s="2"/>
      <c r="C12" s="2"/>
      <c r="D12" s="2"/>
    </row>
    <row r="13" spans="1:12" x14ac:dyDescent="0.6">
      <c r="A13" s="2"/>
      <c r="B13" s="2"/>
      <c r="C13" s="2"/>
      <c r="D13" s="2"/>
      <c r="H13" s="1"/>
    </row>
    <row r="14" spans="1:12" x14ac:dyDescent="0.6">
      <c r="A14" s="2"/>
      <c r="B14" s="2"/>
      <c r="C14" s="2"/>
      <c r="D14" s="2"/>
      <c r="H14" s="1"/>
    </row>
    <row r="15" spans="1:12" x14ac:dyDescent="0.6">
      <c r="A15" s="2"/>
      <c r="B15" s="2"/>
      <c r="C15" s="2"/>
      <c r="D15" s="2"/>
      <c r="H15" s="1"/>
    </row>
    <row r="16" spans="1:12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5" spans="1:8" x14ac:dyDescent="0.6">
      <c r="H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F34"/>
  <sheetViews>
    <sheetView zoomScale="85" zoomScaleNormal="85" workbookViewId="0">
      <selection sqref="A1:B1"/>
    </sheetView>
  </sheetViews>
  <sheetFormatPr defaultRowHeight="16.899999999999999" x14ac:dyDescent="0.6"/>
  <cols>
    <col min="1" max="2" width="11" bestFit="1" customWidth="1"/>
    <col min="3" max="3" width="12.125" bestFit="1" customWidth="1"/>
    <col min="4" max="4" width="9.8125" bestFit="1" customWidth="1"/>
    <col min="5" max="5" width="11" bestFit="1" customWidth="1"/>
    <col min="6" max="6" width="12.125" bestFit="1" customWidth="1"/>
  </cols>
  <sheetData>
    <row r="1" spans="1:6" ht="67.5" customHeight="1" x14ac:dyDescent="0.6">
      <c r="A1" s="29" t="s">
        <v>42</v>
      </c>
      <c r="B1" s="29"/>
    </row>
    <row r="2" spans="1:6" ht="54" customHeight="1" x14ac:dyDescent="0.6">
      <c r="A2" s="7" t="s">
        <v>15</v>
      </c>
      <c r="B2" s="8" t="s">
        <v>23</v>
      </c>
    </row>
    <row r="3" spans="1:6" x14ac:dyDescent="0.6">
      <c r="A3" s="11"/>
      <c r="B3" s="12"/>
      <c r="C3" s="30" t="s">
        <v>16</v>
      </c>
      <c r="D3" s="31"/>
      <c r="E3" s="31"/>
      <c r="F3" s="32"/>
    </row>
    <row r="4" spans="1:6" ht="67.5" customHeight="1" x14ac:dyDescent="0.6">
      <c r="A4" s="13"/>
      <c r="B4" s="9"/>
      <c r="C4" s="24" t="s">
        <v>17</v>
      </c>
      <c r="D4" s="25"/>
      <c r="E4" s="25"/>
      <c r="F4" s="33"/>
    </row>
    <row r="5" spans="1:6" x14ac:dyDescent="0.6">
      <c r="A5" s="13"/>
      <c r="B5" s="9"/>
      <c r="C5" s="24" t="s">
        <v>29</v>
      </c>
      <c r="D5" s="25"/>
      <c r="E5" s="25"/>
      <c r="F5" s="33"/>
    </row>
    <row r="6" spans="1:6" ht="27" customHeight="1" x14ac:dyDescent="0.6">
      <c r="A6" s="13"/>
      <c r="B6" s="9"/>
      <c r="C6" s="24" t="s">
        <v>30</v>
      </c>
      <c r="D6" s="25"/>
      <c r="E6" s="25"/>
      <c r="F6" s="33"/>
    </row>
    <row r="7" spans="1:6" ht="16.899999999999999" customHeight="1" x14ac:dyDescent="0.6">
      <c r="A7" s="13"/>
      <c r="B7" s="9"/>
      <c r="C7" s="24" t="s">
        <v>18</v>
      </c>
      <c r="D7" s="25"/>
      <c r="E7" s="26"/>
      <c r="F7" s="27" t="s">
        <v>19</v>
      </c>
    </row>
    <row r="8" spans="1:6" ht="40.5" x14ac:dyDescent="0.6">
      <c r="A8" s="13"/>
      <c r="B8" s="9"/>
      <c r="C8" s="9" t="s">
        <v>20</v>
      </c>
      <c r="D8" s="9" t="s">
        <v>21</v>
      </c>
      <c r="E8" s="9" t="s">
        <v>13</v>
      </c>
      <c r="F8" s="28"/>
    </row>
    <row r="9" spans="1:6" ht="20.25" customHeight="1" x14ac:dyDescent="0.6">
      <c r="A9" s="17" t="s">
        <v>31</v>
      </c>
      <c r="B9" s="18"/>
      <c r="C9" s="4">
        <v>86140216</v>
      </c>
      <c r="D9" s="4">
        <v>1898795</v>
      </c>
      <c r="E9" s="4">
        <v>9109141</v>
      </c>
      <c r="F9" s="6">
        <v>97148152</v>
      </c>
    </row>
    <row r="10" spans="1:6" ht="27" customHeight="1" x14ac:dyDescent="0.6">
      <c r="A10" s="17" t="s">
        <v>32</v>
      </c>
      <c r="B10" s="18"/>
      <c r="C10" s="3">
        <v>0</v>
      </c>
      <c r="D10" s="3">
        <v>0</v>
      </c>
      <c r="E10" s="3">
        <v>0</v>
      </c>
      <c r="F10" s="5">
        <v>0</v>
      </c>
    </row>
    <row r="11" spans="1:6" ht="27" customHeight="1" x14ac:dyDescent="0.6">
      <c r="A11" s="17" t="s">
        <v>33</v>
      </c>
      <c r="B11" s="18"/>
      <c r="C11" s="4">
        <v>86140216</v>
      </c>
      <c r="D11" s="4">
        <v>1898795</v>
      </c>
      <c r="E11" s="4">
        <v>9109141</v>
      </c>
      <c r="F11" s="6">
        <v>97148152</v>
      </c>
    </row>
    <row r="12" spans="1:6" ht="27" customHeight="1" x14ac:dyDescent="0.6">
      <c r="A12" s="17" t="s">
        <v>43</v>
      </c>
      <c r="B12" s="18"/>
      <c r="C12" s="10"/>
      <c r="D12" s="10"/>
      <c r="E12" s="10"/>
      <c r="F12" s="14"/>
    </row>
    <row r="13" spans="1:6" ht="27" customHeight="1" x14ac:dyDescent="0.6">
      <c r="A13" s="21" t="s">
        <v>43</v>
      </c>
      <c r="B13" s="10" t="s">
        <v>26</v>
      </c>
      <c r="C13" s="4">
        <v>-146402</v>
      </c>
      <c r="D13" s="4">
        <v>247940</v>
      </c>
      <c r="E13" s="4">
        <v>34034</v>
      </c>
      <c r="F13" s="6">
        <v>135572</v>
      </c>
    </row>
    <row r="14" spans="1:6" ht="27" customHeight="1" x14ac:dyDescent="0.6">
      <c r="A14" s="22"/>
      <c r="B14" s="10" t="s">
        <v>44</v>
      </c>
      <c r="C14" s="4">
        <v>2055892</v>
      </c>
      <c r="D14" s="4">
        <v>-23668</v>
      </c>
      <c r="E14" s="4">
        <v>-2032224</v>
      </c>
      <c r="F14" s="5">
        <v>0</v>
      </c>
    </row>
    <row r="15" spans="1:6" ht="54" customHeight="1" x14ac:dyDescent="0.6">
      <c r="A15" s="22"/>
      <c r="B15" s="10" t="s">
        <v>45</v>
      </c>
      <c r="C15" s="4">
        <v>-8970</v>
      </c>
      <c r="D15" s="3">
        <v>-557</v>
      </c>
      <c r="E15" s="3">
        <v>0</v>
      </c>
      <c r="F15" s="6">
        <v>-9527</v>
      </c>
    </row>
    <row r="16" spans="1:6" ht="54" customHeight="1" x14ac:dyDescent="0.6">
      <c r="A16" s="22"/>
      <c r="B16" s="10" t="s">
        <v>50</v>
      </c>
      <c r="C16" s="4">
        <v>-2193324</v>
      </c>
      <c r="D16" s="4">
        <v>272165</v>
      </c>
      <c r="E16" s="4">
        <v>2066258</v>
      </c>
      <c r="F16" s="6">
        <v>145099</v>
      </c>
    </row>
    <row r="17" spans="1:6" ht="27" customHeight="1" x14ac:dyDescent="0.6">
      <c r="A17" s="22"/>
      <c r="B17" s="10" t="s">
        <v>25</v>
      </c>
      <c r="C17" s="4">
        <v>381555</v>
      </c>
      <c r="D17" s="4">
        <v>-109056</v>
      </c>
      <c r="E17" s="4">
        <v>-787290</v>
      </c>
      <c r="F17" s="6">
        <v>-514791</v>
      </c>
    </row>
    <row r="18" spans="1:6" ht="54" customHeight="1" x14ac:dyDescent="0.6">
      <c r="A18" s="22"/>
      <c r="B18" s="10" t="s">
        <v>51</v>
      </c>
      <c r="C18" s="3">
        <v>0</v>
      </c>
      <c r="D18" s="3">
        <v>0</v>
      </c>
      <c r="E18" s="4">
        <v>-787290</v>
      </c>
      <c r="F18" s="6">
        <v>-787290</v>
      </c>
    </row>
    <row r="19" spans="1:6" ht="54" customHeight="1" x14ac:dyDescent="0.6">
      <c r="A19" s="22"/>
      <c r="B19" s="10" t="s">
        <v>46</v>
      </c>
      <c r="C19" s="3">
        <v>0</v>
      </c>
      <c r="D19" s="4">
        <v>-109056</v>
      </c>
      <c r="E19" s="3">
        <v>0</v>
      </c>
      <c r="F19" s="6">
        <v>-109056</v>
      </c>
    </row>
    <row r="20" spans="1:6" ht="54" customHeight="1" x14ac:dyDescent="0.6">
      <c r="A20" s="22"/>
      <c r="B20" s="10" t="s">
        <v>47</v>
      </c>
      <c r="C20" s="4">
        <v>381555</v>
      </c>
      <c r="D20" s="3">
        <v>0</v>
      </c>
      <c r="E20" s="3">
        <v>0</v>
      </c>
      <c r="F20" s="6">
        <v>381555</v>
      </c>
    </row>
    <row r="21" spans="1:6" ht="54" customHeight="1" x14ac:dyDescent="0.6">
      <c r="A21" s="22"/>
      <c r="B21" s="10" t="s">
        <v>48</v>
      </c>
      <c r="C21" s="4">
        <v>-74748</v>
      </c>
      <c r="D21" s="4">
        <v>-43776</v>
      </c>
      <c r="E21" s="3">
        <v>0</v>
      </c>
      <c r="F21" s="6">
        <v>-118524</v>
      </c>
    </row>
    <row r="22" spans="1:6" ht="54" customHeight="1" x14ac:dyDescent="0.6">
      <c r="A22" s="22"/>
      <c r="B22" s="10" t="s">
        <v>24</v>
      </c>
      <c r="C22" s="4">
        <v>160405</v>
      </c>
      <c r="D22" s="4">
        <v>95108</v>
      </c>
      <c r="E22" s="4">
        <v>-753256</v>
      </c>
      <c r="F22" s="6">
        <v>-497743</v>
      </c>
    </row>
    <row r="23" spans="1:6" ht="27" x14ac:dyDescent="0.6">
      <c r="A23" s="22"/>
      <c r="B23" s="10" t="s">
        <v>34</v>
      </c>
      <c r="C23" s="4">
        <v>435570</v>
      </c>
      <c r="D23" s="3">
        <v>0</v>
      </c>
      <c r="E23" s="4">
        <v>357767</v>
      </c>
      <c r="F23" s="6">
        <v>793337</v>
      </c>
    </row>
    <row r="24" spans="1:6" ht="27" customHeight="1" x14ac:dyDescent="0.6">
      <c r="A24" s="22"/>
      <c r="B24" s="10" t="s">
        <v>35</v>
      </c>
      <c r="C24" s="4">
        <v>-513702</v>
      </c>
      <c r="D24" s="3">
        <v>0</v>
      </c>
      <c r="E24" s="3">
        <v>0</v>
      </c>
      <c r="F24" s="6">
        <v>-513702</v>
      </c>
    </row>
    <row r="25" spans="1:6" ht="27" x14ac:dyDescent="0.6">
      <c r="A25" s="22"/>
      <c r="B25" s="10" t="s">
        <v>36</v>
      </c>
      <c r="C25" s="4">
        <v>16672953</v>
      </c>
      <c r="D25" s="3">
        <v>0</v>
      </c>
      <c r="E25" s="3">
        <v>0</v>
      </c>
      <c r="F25" s="6">
        <v>16672953</v>
      </c>
    </row>
    <row r="26" spans="1:6" ht="54" customHeight="1" x14ac:dyDescent="0.6">
      <c r="A26" s="22"/>
      <c r="B26" s="10" t="s">
        <v>37</v>
      </c>
      <c r="C26" s="4">
        <v>-3967715</v>
      </c>
      <c r="D26" s="3">
        <v>0</v>
      </c>
      <c r="E26" s="3">
        <v>0</v>
      </c>
      <c r="F26" s="6">
        <v>-3967715</v>
      </c>
    </row>
    <row r="27" spans="1:6" ht="54" customHeight="1" x14ac:dyDescent="0.6">
      <c r="A27" s="22"/>
      <c r="B27" s="10" t="s">
        <v>38</v>
      </c>
      <c r="C27" s="4">
        <v>-13504962</v>
      </c>
      <c r="D27" s="3">
        <v>0</v>
      </c>
      <c r="E27" s="3">
        <v>0</v>
      </c>
      <c r="F27" s="6">
        <v>-13504962</v>
      </c>
    </row>
    <row r="28" spans="1:6" ht="54" customHeight="1" x14ac:dyDescent="0.6">
      <c r="A28" s="23"/>
      <c r="B28" s="10" t="s">
        <v>49</v>
      </c>
      <c r="C28" s="4">
        <v>286022</v>
      </c>
      <c r="D28" s="3">
        <v>0</v>
      </c>
      <c r="E28" s="3">
        <v>0</v>
      </c>
      <c r="F28" s="6">
        <v>286022</v>
      </c>
    </row>
    <row r="29" spans="1:6" x14ac:dyDescent="0.6">
      <c r="A29" s="17" t="s">
        <v>39</v>
      </c>
      <c r="B29" s="18"/>
      <c r="C29" s="4">
        <v>86222489</v>
      </c>
      <c r="D29" s="4">
        <v>1993903</v>
      </c>
      <c r="E29" s="4">
        <v>8713652</v>
      </c>
      <c r="F29" s="6">
        <v>96930044</v>
      </c>
    </row>
    <row r="30" spans="1:6" ht="162" customHeight="1" x14ac:dyDescent="0.6">
      <c r="A30" s="17" t="s">
        <v>40</v>
      </c>
      <c r="B30" s="18"/>
      <c r="C30" s="3">
        <v>0</v>
      </c>
      <c r="D30" s="3">
        <v>0</v>
      </c>
      <c r="E30" s="3">
        <v>0</v>
      </c>
      <c r="F30" s="5">
        <v>0</v>
      </c>
    </row>
    <row r="31" spans="1:6" ht="40.5" customHeight="1" x14ac:dyDescent="0.6">
      <c r="A31" s="19" t="s">
        <v>41</v>
      </c>
      <c r="B31" s="20"/>
      <c r="C31" s="15">
        <v>86222489</v>
      </c>
      <c r="D31" s="15">
        <v>1993903</v>
      </c>
      <c r="E31" s="15">
        <v>8713652</v>
      </c>
      <c r="F31" s="16">
        <v>96930044</v>
      </c>
    </row>
    <row r="32" spans="1:6" ht="27" customHeight="1" x14ac:dyDescent="0.6"/>
    <row r="33" ht="27" customHeight="1" x14ac:dyDescent="0.6"/>
    <row r="34" ht="27" customHeight="1" x14ac:dyDescent="0.6"/>
  </sheetData>
  <mergeCells count="15">
    <mergeCell ref="A31:B31"/>
    <mergeCell ref="A30:B30"/>
    <mergeCell ref="A13:A28"/>
    <mergeCell ref="A29:B29"/>
    <mergeCell ref="A12:B12"/>
    <mergeCell ref="A10:B10"/>
    <mergeCell ref="A11:B11"/>
    <mergeCell ref="C6:F6"/>
    <mergeCell ref="A9:B9"/>
    <mergeCell ref="C4:F4"/>
    <mergeCell ref="C5:F5"/>
    <mergeCell ref="C7:E7"/>
    <mergeCell ref="F7:F8"/>
    <mergeCell ref="C3:F3"/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2026-06-02T13:16:33Z</dcterms:modified>
</cp:coreProperties>
</file>