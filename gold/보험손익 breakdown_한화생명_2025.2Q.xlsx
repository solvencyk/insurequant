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7A5FCB9A-3699-4763-A698-0FDF48B896C7}" xr6:coauthVersionLast="47" xr6:coauthVersionMax="47" xr10:uidLastSave="{00000000-0000-0000-0000-000000000000}"/>
  <bookViews>
    <workbookView xWindow="-83" yWindow="0" windowWidth="10965" windowHeight="12863" xr2:uid="{3CD259B9-5A78-42E0-B669-107C3DC53255}"/>
  </bookViews>
  <sheets>
    <sheet name="Sheet2" sheetId="2" r:id="rId1"/>
    <sheet name="부문별" sheetId="1" r:id="rId2"/>
    <sheet name="포괄손익계산서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I25" i="2"/>
  <c r="I23" i="2"/>
  <c r="I21" i="2"/>
  <c r="I2" i="2"/>
  <c r="H12" i="2"/>
  <c r="H11" i="2"/>
  <c r="H4" i="2"/>
  <c r="H8" i="2" s="1"/>
  <c r="H9" i="2"/>
  <c r="H6" i="2"/>
  <c r="H5" i="2"/>
  <c r="H10" i="2"/>
  <c r="H24" i="2" l="1"/>
  <c r="H22" i="2"/>
  <c r="H20" i="2"/>
  <c r="H18" i="2"/>
  <c r="H17" i="2"/>
  <c r="H13" i="2"/>
  <c r="H3" i="2"/>
  <c r="E3" i="2"/>
  <c r="E4" i="2"/>
  <c r="E5" i="2"/>
  <c r="E6" i="2"/>
  <c r="E7" i="2"/>
  <c r="E8" i="2"/>
  <c r="E9" i="2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H19" i="2" l="1"/>
  <c r="H2" i="2" l="1"/>
  <c r="H21" i="2" l="1"/>
  <c r="H23" i="2" l="1"/>
  <c r="H25" i="2" l="1"/>
</calcChain>
</file>

<file path=xl/sharedStrings.xml><?xml version="1.0" encoding="utf-8"?>
<sst xmlns="http://schemas.openxmlformats.org/spreadsheetml/2006/main" count="652" uniqueCount="142">
  <si>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</si>
  <si>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</si>
  <si>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</si>
  <si>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</si>
  <si>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</si>
  <si>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</si>
  <si>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</si>
  <si>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</si>
  <si>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검증</t>
    <phoneticPr fontId="2" type="noConversion"/>
  </si>
  <si>
    <t>보험손익</t>
    <phoneticPr fontId="2" type="noConversion"/>
  </si>
  <si>
    <t>자동차손익</t>
  </si>
  <si>
    <t>일반손익</t>
  </si>
  <si>
    <t>기타영업수익</t>
    <phoneticPr fontId="2" type="noConversion"/>
  </si>
  <si>
    <t>기타사업비용</t>
    <phoneticPr fontId="2" type="noConversion"/>
  </si>
  <si>
    <t>투자손익</t>
    <phoneticPr fontId="2" type="noConversion"/>
  </si>
  <si>
    <t>투자이익</t>
  </si>
  <si>
    <t>보험금융손익</t>
  </si>
  <si>
    <t>영업이익</t>
  </si>
  <si>
    <t>영업외손익</t>
  </si>
  <si>
    <t>세전이익</t>
  </si>
  <si>
    <t>법인세</t>
  </si>
  <si>
    <t>당기순이익</t>
  </si>
  <si>
    <t>　보험서비스비용</t>
  </si>
  <si>
    <t>　　기타사업비용</t>
  </si>
  <si>
    <t>투자손익</t>
  </si>
  <si>
    <t>　　재보험금융수익</t>
  </si>
  <si>
    <t>　　이자수익</t>
  </si>
  <si>
    <t>　　배당금수익</t>
  </si>
  <si>
    <t>　　보험금융비용</t>
  </si>
  <si>
    <t>　　재산관리비</t>
  </si>
  <si>
    <t>　영업외수익</t>
  </si>
  <si>
    <t>　영업외비용</t>
  </si>
  <si>
    <t>법인세비용</t>
  </si>
  <si>
    <t>총포괄손익</t>
  </si>
  <si>
    <t>생명보험</t>
    <phoneticPr fontId="2" type="noConversion"/>
  </si>
  <si>
    <t>보험서비스결과</t>
  </si>
  <si>
    <t>　　재보험금융비용</t>
  </si>
  <si>
    <t>(단위 : 백만원)</t>
  </si>
  <si>
    <t>발행한 보험계약</t>
  </si>
  <si>
    <t>발행보험의 보험서비스비용 분석 공시</t>
  </si>
  <si>
    <t>보유 재보험계약</t>
  </si>
  <si>
    <t>재보험비용 분석 공시</t>
  </si>
  <si>
    <t>생명장기 손익</t>
    <phoneticPr fontId="2" type="noConversion"/>
  </si>
  <si>
    <t>4-2. 포괄손익계산서</t>
  </si>
  <si>
    <t>포괄손익계산서</t>
  </si>
  <si>
    <t>보험손익</t>
  </si>
  <si>
    <t>　보험영업수익</t>
  </si>
  <si>
    <t>　　보험수익</t>
  </si>
  <si>
    <t>　　재보험수익</t>
  </si>
  <si>
    <t>　　보험비용</t>
  </si>
  <si>
    <t>　　재보험비용</t>
  </si>
  <si>
    <t>　투자영업수익</t>
  </si>
  <si>
    <t>　　당기손익-공정가치측정금융상품관련이익</t>
  </si>
  <si>
    <t>　　기타포괄손익-공정가치측정금융상품관련이익</t>
  </si>
  <si>
    <t>　　상각후원가측정금융상품관련이익</t>
  </si>
  <si>
    <t>　　파생상품관련수익</t>
  </si>
  <si>
    <t>　　외화거래이익</t>
  </si>
  <si>
    <t>　　기타투자수익</t>
  </si>
  <si>
    <t>　투자영업비용</t>
  </si>
  <si>
    <t>　　금융부채의 이자비용</t>
  </si>
  <si>
    <t>　　당기손익-공정가치측정금융상품관련손실</t>
  </si>
  <si>
    <t>　　기타포괄손익-공정가치측정금융상품관련손실</t>
  </si>
  <si>
    <t>　　상각후원가측정금융상품관련손실</t>
  </si>
  <si>
    <t>　　파생상품관련비용</t>
  </si>
  <si>
    <t>　　외화거래손실</t>
  </si>
  <si>
    <t>　　기타투자비용</t>
  </si>
  <si>
    <t>법인세차감전순이익</t>
  </si>
  <si>
    <t>기타포괄손익</t>
  </si>
  <si>
    <t>　당기손익으로 재분류되지 않는 세후기타포괄손익의 구성요소</t>
  </si>
  <si>
    <t>　　기타포괄손익-공정가치측정지분증권평가손익</t>
  </si>
  <si>
    <t>　　자산재평가손익</t>
  </si>
  <si>
    <t>　　확정급여제도의 재측정요소</t>
  </si>
  <si>
    <t>　당기손익으로 재분류되는 세후기타포괄손익의 구성요소</t>
  </si>
  <si>
    <t>　　기타포괄손익-공정가치측정채무증권평가손익</t>
  </si>
  <si>
    <t>　　보험계약자산(부채)순금융손익</t>
  </si>
  <si>
    <t>　　재보험계약자산(부채)순금융손익</t>
  </si>
  <si>
    <t>　　현금흐름위험회피파생상품평가손익</t>
  </si>
  <si>
    <t>주당이익(손실)</t>
  </si>
  <si>
    <t>　보통주기본주당이익 (단위 : 원)</t>
  </si>
  <si>
    <t>　보통주희석주당이익 (단위 : 원)</t>
  </si>
  <si>
    <t>보험계약의 세분</t>
  </si>
  <si>
    <t>보험계약</t>
  </si>
  <si>
    <t>보험료배분접근법을 적용한 보험계약 외의 보험계약</t>
  </si>
  <si>
    <t>보험료배분접근법을 적용한 보험계약</t>
  </si>
  <si>
    <t>계약의 유형</t>
  </si>
  <si>
    <t>계약의 유형  합계</t>
  </si>
  <si>
    <t>사망보험</t>
  </si>
  <si>
    <t>건강보험</t>
  </si>
  <si>
    <t>연금저축보험</t>
  </si>
  <si>
    <t>변액보험</t>
  </si>
  <si>
    <t>기타보험</t>
  </si>
  <si>
    <t>보험수익 </t>
  </si>
  <si>
    <t>보험수익, 보고기간에 발생한 보험서비스비용 (기초 예상 측정치)</t>
  </si>
  <si>
    <t>보험수익, 비금융위험에 대한 위험조정의 변동분</t>
  </si>
  <si>
    <t>보험수익, 서비스의 이전으로 당기손익에 인식한 보험계약마진</t>
  </si>
  <si>
    <t>보험수익, 손실요소 변동과 관련된 금액 </t>
  </si>
  <si>
    <t>보험수익, 보험취득 현금흐름의 회수와 관련되는 보험료 부분의 배분액</t>
  </si>
  <si>
    <t>보험수익, 그 밖의 금액</t>
  </si>
  <si>
    <t>보험수익</t>
  </si>
  <si>
    <t>보험서비스비용, 발생한 보험금 및 그 밖의 발생한 보험서비스비용</t>
  </si>
  <si>
    <t>보험서비스비용, 보험취득 현금흐름의 상각에 따른 금액</t>
  </si>
  <si>
    <t>보험서비스비용, 과거 서비스와 관련된 금액</t>
  </si>
  <si>
    <t>보험서비스비용, 미래 서비스와 관련된 변동분에 관련된 금액</t>
  </si>
  <si>
    <t>발행한 보험계약에서 생기는 보험서비스비용</t>
  </si>
  <si>
    <t>발행보험의 보험서비스결과 분석 공시</t>
  </si>
  <si>
    <t>재보험비용의 보험서비스비용 분석 공시</t>
  </si>
  <si>
    <t>재보험수익, 발생한 보험금 및 그 밖의 발생한 보험서비스비용</t>
  </si>
  <si>
    <t>재보험수익, 과거 서비스와 관련된 금액</t>
  </si>
  <si>
    <t>재보험수익, 미래 서비스와 관련된 변동분에 관련된 금액</t>
  </si>
  <si>
    <t>재보험자에게서 회수한 금액에서 생기는 수익</t>
  </si>
  <si>
    <t>재보험비용, 보고기간에 발생한 보험서비스비용 (기초 예상 측정치)</t>
  </si>
  <si>
    <t>재보험비용, 비금융위험에 대한 위험조정의 변동분</t>
  </si>
  <si>
    <t>재보험비용, 서비스의 이전으로 당기손익에 인식한 보험계약마진</t>
  </si>
  <si>
    <t>재보험비용, 당기 및 과거서비스 재보험료 경험조정</t>
  </si>
  <si>
    <t>재보험자에게 지급된 보험료 배분액에서 생기는 비용</t>
  </si>
  <si>
    <t>재보험서비스결과 공시</t>
  </si>
  <si>
    <t>KR0068</t>
    <phoneticPr fontId="2" type="noConversion"/>
  </si>
  <si>
    <t>한화생명</t>
    <phoneticPr fontId="2" type="noConversion"/>
  </si>
  <si>
    <t>&lt;- 투자손익에 '보험금융수익' 계정이 없음. 보험금융비용 차감만 처리함</t>
    <phoneticPr fontId="2" type="noConversion"/>
  </si>
  <si>
    <t>생명장기 원수손익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</si>
  <si>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</si>
  <si>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</si>
  <si>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</si>
  <si>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</si>
  <si>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생명장기 재보험손익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</si>
  <si>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</si>
  <si>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</si>
  <si>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</si>
  <si>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</si>
  <si>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2025.2Q</t>
    <phoneticPr fontId="2" type="noConversion"/>
  </si>
  <si>
    <t>제 77 기 반기 2025.01.01 부터 2025.06.30 까지</t>
  </si>
  <si>
    <t>제 76 기 반기 2024.01.01 부터 2024.06.30 까지</t>
  </si>
  <si>
    <t>제 77 기 반기</t>
  </si>
  <si>
    <t>제 76 기 반기</t>
  </si>
  <si>
    <t>3개월</t>
  </si>
  <si>
    <t>누적</t>
  </si>
  <si>
    <t>반기순이익</t>
  </si>
  <si>
    <t>23. 보험서비스결과</t>
  </si>
  <si>
    <t>발행보험의 보험수익 분석 공시</t>
  </si>
  <si>
    <t>당반기</t>
  </si>
  <si>
    <t>전반기</t>
  </si>
  <si>
    <t>24. 재보험서비스결과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</si>
</sst>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/>
      <diagonal/>
    </border>
    <border>
      <left/>
      <right style="thin">
        <color rgb="FF00000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3" fontId="3" fillId="0" borderId="0" xfId="0" applyNumberFormat="1" applyFon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4" fillId="0" borderId="0" xfId="0" applyFont="1">
      <alignment vertical="center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I25"/>
  <sheetViews>
    <sheetView tabSelected="1" zoomScale="70" zoomScaleNormal="70" workbookViewId="0"/>
  </sheetViews>
  <sheetFormatPr defaultRowHeight="16.899999999999999" x14ac:dyDescent="0.6"/>
  <cols>
    <col min="6" max="6" width="17.3125" bestFit="1" customWidth="1"/>
    <col min="8" max="8" width="15.1875" bestFit="1" customWidth="1"/>
  </cols>
  <sheetData>
    <row r="1" spans="1:9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6">
      <c r="A2" s="2" t="s">
        <v>116</v>
      </c>
      <c r="B2" s="2" t="s">
        <v>117</v>
      </c>
      <c r="C2" s="2"/>
      <c r="D2" s="2" t="s">
        <v>34</v>
      </c>
      <c r="E2" s="2">
        <v>1</v>
      </c>
      <c r="F2" t="s">
        <v>9</v>
      </c>
      <c r="G2" s="2" t="s">
        <v>129</v>
      </c>
      <c r="H2" s="1">
        <f>H3+H14+H15+H16-H17</f>
        <v>175999</v>
      </c>
      <c r="I2" t="b">
        <f>ROUND(H2,0)=ROUND(포괄손익계산서!C8,0)</f>
        <v>1</v>
      </c>
    </row>
    <row r="3" spans="1:9" x14ac:dyDescent="0.6">
      <c r="A3" s="2" t="s">
        <v>116</v>
      </c>
      <c r="B3" s="2" t="s">
        <v>117</v>
      </c>
      <c r="C3" s="2"/>
      <c r="D3" s="2" t="s">
        <v>34</v>
      </c>
      <c r="E3">
        <f t="shared" ref="E3:E25" si="0">E2+1</f>
        <v>2</v>
      </c>
      <c r="F3" t="s">
        <v>42</v>
      </c>
      <c r="G3" t="s">
        <v>129</v>
      </c>
      <c r="H3" s="1">
        <f>H4+H9</f>
        <v>235859</v>
      </c>
    </row>
    <row r="4" spans="1:9" x14ac:dyDescent="0.6">
      <c r="A4" s="2" t="s">
        <v>116</v>
      </c>
      <c r="B4" s="2" t="s">
        <v>117</v>
      </c>
      <c r="C4" s="2"/>
      <c r="D4" s="2" t="s">
        <v>34</v>
      </c>
      <c r="E4">
        <f t="shared" si="0"/>
        <v>3</v>
      </c>
      <c r="F4" t="s">
        <v>119</v>
      </c>
      <c r="G4" t="s">
        <v>129</v>
      </c>
      <c r="H4" s="1">
        <f>부문별!N20+부문별!Z20-부문별!M52-부문별!Y52</f>
        <v>242874</v>
      </c>
    </row>
    <row r="5" spans="1:9" x14ac:dyDescent="0.6">
      <c r="A5" s="2" t="s">
        <v>116</v>
      </c>
      <c r="B5" s="2" t="s">
        <v>117</v>
      </c>
      <c r="C5" s="2"/>
      <c r="D5" s="2" t="s">
        <v>34</v>
      </c>
      <c r="E5">
        <f t="shared" si="0"/>
        <v>4</v>
      </c>
      <c r="F5" t="s">
        <v>120</v>
      </c>
      <c r="G5" t="s">
        <v>129</v>
      </c>
      <c r="H5" s="3">
        <f>부문별!N16+부문별!Z16</f>
        <v>394479</v>
      </c>
    </row>
    <row r="6" spans="1:9" x14ac:dyDescent="0.6">
      <c r="A6" s="2" t="s">
        <v>116</v>
      </c>
      <c r="B6" s="2" t="s">
        <v>117</v>
      </c>
      <c r="C6" s="2"/>
      <c r="D6" s="2" t="s">
        <v>34</v>
      </c>
      <c r="E6">
        <f t="shared" si="0"/>
        <v>5</v>
      </c>
      <c r="F6" t="s">
        <v>121</v>
      </c>
      <c r="G6" t="s">
        <v>129</v>
      </c>
      <c r="H6" s="3">
        <f>부문별!N15+부문별!Z15-부문별!I131-부문별!Q131</f>
        <v>75507</v>
      </c>
    </row>
    <row r="7" spans="1:9" x14ac:dyDescent="0.6">
      <c r="A7" s="2" t="s">
        <v>116</v>
      </c>
      <c r="B7" s="2" t="s">
        <v>117</v>
      </c>
      <c r="C7" s="2"/>
      <c r="D7" s="2" t="s">
        <v>34</v>
      </c>
      <c r="E7">
        <f t="shared" si="0"/>
        <v>6</v>
      </c>
      <c r="F7" t="s">
        <v>122</v>
      </c>
      <c r="G7" t="s">
        <v>129</v>
      </c>
      <c r="H7" s="1">
        <f>부문별!N14+부문별!Z14-부문별!M48-부문별!Y48</f>
        <v>-123351</v>
      </c>
    </row>
    <row r="8" spans="1:9" x14ac:dyDescent="0.6">
      <c r="A8" s="2" t="s">
        <v>116</v>
      </c>
      <c r="B8" s="2" t="s">
        <v>117</v>
      </c>
      <c r="C8" s="2"/>
      <c r="D8" s="2" t="s">
        <v>34</v>
      </c>
      <c r="E8">
        <f t="shared" si="0"/>
        <v>7</v>
      </c>
      <c r="F8" t="s">
        <v>123</v>
      </c>
      <c r="G8" t="s">
        <v>129</v>
      </c>
      <c r="H8" s="1">
        <f>H4-SUM(H5:H7)</f>
        <v>-103761</v>
      </c>
    </row>
    <row r="9" spans="1:9" x14ac:dyDescent="0.6">
      <c r="A9" s="2" t="s">
        <v>116</v>
      </c>
      <c r="B9" s="2" t="s">
        <v>117</v>
      </c>
      <c r="C9" s="2"/>
      <c r="D9" s="2" t="s">
        <v>34</v>
      </c>
      <c r="E9">
        <f t="shared" si="0"/>
        <v>8</v>
      </c>
      <c r="F9" t="s">
        <v>124</v>
      </c>
      <c r="G9" t="s">
        <v>129</v>
      </c>
      <c r="H9" s="1">
        <f>+부문별!I106+부문별!Q106-부문별!I134-부문별!Q134</f>
        <v>-7015</v>
      </c>
    </row>
    <row r="10" spans="1:9" x14ac:dyDescent="0.6">
      <c r="A10" s="2" t="s">
        <v>116</v>
      </c>
      <c r="B10" s="2" t="s">
        <v>117</v>
      </c>
      <c r="C10" s="2"/>
      <c r="D10" s="2" t="s">
        <v>34</v>
      </c>
      <c r="E10">
        <f t="shared" si="0"/>
        <v>9</v>
      </c>
      <c r="F10" t="s">
        <v>125</v>
      </c>
      <c r="G10" t="s">
        <v>129</v>
      </c>
      <c r="H10" s="1">
        <f>-부문별!I132-부문별!Q132</f>
        <v>-14304</v>
      </c>
    </row>
    <row r="11" spans="1:9" x14ac:dyDescent="0.6">
      <c r="A11" s="2" t="s">
        <v>116</v>
      </c>
      <c r="B11" s="2" t="s">
        <v>117</v>
      </c>
      <c r="C11" s="2"/>
      <c r="D11" s="2" t="s">
        <v>34</v>
      </c>
      <c r="E11">
        <f t="shared" si="0"/>
        <v>10</v>
      </c>
      <c r="F11" t="s">
        <v>126</v>
      </c>
      <c r="G11" t="s">
        <v>129</v>
      </c>
      <c r="H11" s="1">
        <f>-부문별!I145-부문별!Q145</f>
        <v>-450</v>
      </c>
    </row>
    <row r="12" spans="1:9" x14ac:dyDescent="0.6">
      <c r="A12" s="2" t="s">
        <v>116</v>
      </c>
      <c r="B12" s="2" t="s">
        <v>117</v>
      </c>
      <c r="C12" s="2"/>
      <c r="D12" s="2" t="s">
        <v>34</v>
      </c>
      <c r="E12">
        <f t="shared" si="0"/>
        <v>11</v>
      </c>
      <c r="F12" t="s">
        <v>127</v>
      </c>
      <c r="G12" t="s">
        <v>129</v>
      </c>
      <c r="H12" s="1">
        <f>+부문별!I103+부문별!Q103-부문별!I130-부문별!Q130</f>
        <v>15031</v>
      </c>
    </row>
    <row r="13" spans="1:9" x14ac:dyDescent="0.6">
      <c r="A13" s="2" t="s">
        <v>116</v>
      </c>
      <c r="B13" s="2" t="s">
        <v>117</v>
      </c>
      <c r="C13" s="2"/>
      <c r="D13" s="2" t="s">
        <v>34</v>
      </c>
      <c r="E13">
        <f t="shared" si="0"/>
        <v>12</v>
      </c>
      <c r="F13" t="s">
        <v>128</v>
      </c>
      <c r="G13" t="s">
        <v>129</v>
      </c>
      <c r="H13" s="1">
        <f>H9-SUM(H10:H12)</f>
        <v>-7292</v>
      </c>
    </row>
    <row r="14" spans="1:9" x14ac:dyDescent="0.6">
      <c r="A14" s="2" t="s">
        <v>116</v>
      </c>
      <c r="B14" s="2" t="s">
        <v>117</v>
      </c>
      <c r="C14" s="2"/>
      <c r="D14" s="2" t="s">
        <v>34</v>
      </c>
      <c r="E14">
        <f t="shared" si="0"/>
        <v>13</v>
      </c>
      <c r="F14" t="s">
        <v>10</v>
      </c>
      <c r="G14" t="s">
        <v>129</v>
      </c>
      <c r="H14" s="1">
        <v>0</v>
      </c>
    </row>
    <row r="15" spans="1:9" x14ac:dyDescent="0.6">
      <c r="A15" s="2" t="s">
        <v>116</v>
      </c>
      <c r="B15" s="2" t="s">
        <v>117</v>
      </c>
      <c r="C15" s="2"/>
      <c r="D15" s="2" t="s">
        <v>34</v>
      </c>
      <c r="E15">
        <f t="shared" si="0"/>
        <v>14</v>
      </c>
      <c r="F15" t="s">
        <v>11</v>
      </c>
      <c r="G15" t="s">
        <v>129</v>
      </c>
      <c r="H15" s="1">
        <v>0</v>
      </c>
    </row>
    <row r="16" spans="1:9" x14ac:dyDescent="0.6">
      <c r="A16" s="2" t="s">
        <v>116</v>
      </c>
      <c r="B16" s="2" t="s">
        <v>117</v>
      </c>
      <c r="C16" s="2"/>
      <c r="D16" s="2" t="s">
        <v>34</v>
      </c>
      <c r="E16">
        <f t="shared" si="0"/>
        <v>15</v>
      </c>
      <c r="F16" t="s">
        <v>12</v>
      </c>
      <c r="G16" t="s">
        <v>129</v>
      </c>
      <c r="H16" s="1">
        <v>0</v>
      </c>
    </row>
    <row r="17" spans="1:9" x14ac:dyDescent="0.6">
      <c r="A17" s="2" t="s">
        <v>116</v>
      </c>
      <c r="B17" s="2" t="s">
        <v>117</v>
      </c>
      <c r="C17" s="2"/>
      <c r="D17" s="2" t="s">
        <v>34</v>
      </c>
      <c r="E17">
        <f t="shared" si="0"/>
        <v>16</v>
      </c>
      <c r="F17" t="s">
        <v>13</v>
      </c>
      <c r="G17" t="s">
        <v>129</v>
      </c>
      <c r="H17" s="1">
        <f>포괄손익계산서!C15</f>
        <v>59860</v>
      </c>
    </row>
    <row r="18" spans="1:9" x14ac:dyDescent="0.6">
      <c r="A18" s="2" t="s">
        <v>116</v>
      </c>
      <c r="B18" s="2" t="s">
        <v>117</v>
      </c>
      <c r="C18" s="2"/>
      <c r="D18" s="2" t="s">
        <v>34</v>
      </c>
      <c r="E18">
        <f t="shared" si="0"/>
        <v>17</v>
      </c>
      <c r="F18" t="s">
        <v>14</v>
      </c>
      <c r="G18" t="s">
        <v>129</v>
      </c>
      <c r="H18" s="1">
        <f>포괄손익계산서!C16</f>
        <v>14893</v>
      </c>
    </row>
    <row r="19" spans="1:9" x14ac:dyDescent="0.6">
      <c r="A19" s="2" t="s">
        <v>116</v>
      </c>
      <c r="B19" s="2" t="s">
        <v>117</v>
      </c>
      <c r="C19" s="2"/>
      <c r="D19" s="2" t="s">
        <v>34</v>
      </c>
      <c r="E19">
        <f t="shared" si="0"/>
        <v>18</v>
      </c>
      <c r="F19" t="s">
        <v>15</v>
      </c>
      <c r="G19" t="s">
        <v>129</v>
      </c>
      <c r="H19" s="1">
        <f>H18-H20</f>
        <v>2311824</v>
      </c>
    </row>
    <row r="20" spans="1:9" x14ac:dyDescent="0.6">
      <c r="A20" s="2" t="s">
        <v>116</v>
      </c>
      <c r="B20" s="2" t="s">
        <v>117</v>
      </c>
      <c r="C20" s="2"/>
      <c r="D20" s="2" t="s">
        <v>34</v>
      </c>
      <c r="E20">
        <f t="shared" si="0"/>
        <v>19</v>
      </c>
      <c r="F20" t="s">
        <v>16</v>
      </c>
      <c r="G20" t="s">
        <v>129</v>
      </c>
      <c r="H20" s="1">
        <f>-포괄손익계산서!C28</f>
        <v>-2296931</v>
      </c>
      <c r="I20" t="s">
        <v>118</v>
      </c>
    </row>
    <row r="21" spans="1:9" x14ac:dyDescent="0.6">
      <c r="A21" s="2" t="s">
        <v>116</v>
      </c>
      <c r="B21" s="2" t="s">
        <v>117</v>
      </c>
      <c r="C21" s="2"/>
      <c r="D21" s="2" t="s">
        <v>34</v>
      </c>
      <c r="E21">
        <f t="shared" si="0"/>
        <v>20</v>
      </c>
      <c r="F21" t="s">
        <v>17</v>
      </c>
      <c r="G21" t="s">
        <v>129</v>
      </c>
      <c r="H21" s="1">
        <f>H2+H18</f>
        <v>190892</v>
      </c>
      <c r="I21" t="b">
        <f>ROUND(H21,0)=ROUND(포괄손익계산서!C38,0)</f>
        <v>1</v>
      </c>
    </row>
    <row r="22" spans="1:9" x14ac:dyDescent="0.6">
      <c r="A22" s="2" t="s">
        <v>116</v>
      </c>
      <c r="B22" s="2" t="s">
        <v>117</v>
      </c>
      <c r="C22" s="2"/>
      <c r="D22" s="2" t="s">
        <v>34</v>
      </c>
      <c r="E22">
        <f t="shared" si="0"/>
        <v>21</v>
      </c>
      <c r="F22" t="s">
        <v>18</v>
      </c>
      <c r="G22" t="s">
        <v>129</v>
      </c>
      <c r="H22" s="1">
        <f>포괄손익계산서!C39</f>
        <v>32549</v>
      </c>
    </row>
    <row r="23" spans="1:9" x14ac:dyDescent="0.6">
      <c r="A23" s="2" t="s">
        <v>116</v>
      </c>
      <c r="B23" s="2" t="s">
        <v>117</v>
      </c>
      <c r="C23" s="2"/>
      <c r="D23" s="2" t="s">
        <v>34</v>
      </c>
      <c r="E23">
        <f t="shared" si="0"/>
        <v>22</v>
      </c>
      <c r="F23" t="s">
        <v>19</v>
      </c>
      <c r="G23" t="s">
        <v>129</v>
      </c>
      <c r="H23" s="1">
        <f>H21+H22</f>
        <v>223441</v>
      </c>
      <c r="I23" t="b">
        <f>ROUND(H23,0)=ROUND(포괄손익계산서!C42,0)</f>
        <v>1</v>
      </c>
    </row>
    <row r="24" spans="1:9" x14ac:dyDescent="0.6">
      <c r="A24" s="2" t="s">
        <v>116</v>
      </c>
      <c r="B24" s="2" t="s">
        <v>117</v>
      </c>
      <c r="C24" s="2"/>
      <c r="D24" s="2" t="s">
        <v>34</v>
      </c>
      <c r="E24">
        <f t="shared" si="0"/>
        <v>23</v>
      </c>
      <c r="F24" t="s">
        <v>20</v>
      </c>
      <c r="G24" t="s">
        <v>129</v>
      </c>
      <c r="H24" s="1">
        <f>포괄손익계산서!C43</f>
        <v>43740</v>
      </c>
    </row>
    <row r="25" spans="1:9" x14ac:dyDescent="0.6">
      <c r="A25" s="2" t="s">
        <v>116</v>
      </c>
      <c r="B25" s="2" t="s">
        <v>117</v>
      </c>
      <c r="C25" s="2"/>
      <c r="D25" s="2" t="s">
        <v>34</v>
      </c>
      <c r="E25">
        <f t="shared" si="0"/>
        <v>24</v>
      </c>
      <c r="F25" t="s">
        <v>21</v>
      </c>
      <c r="G25" t="s">
        <v>129</v>
      </c>
      <c r="H25" s="1">
        <f>H23-H24</f>
        <v>179701</v>
      </c>
      <c r="I25" t="b">
        <f>ROUND(H25,0)=ROUND(포괄손익계산서!C44,0)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Z173"/>
  <sheetViews>
    <sheetView topLeftCell="N1" zoomScale="59" zoomScaleNormal="40" workbookViewId="0">
      <selection activeCell="Z19" sqref="Z19"/>
    </sheetView>
  </sheetViews>
  <sheetFormatPr defaultRowHeight="16.899999999999999" x14ac:dyDescent="0.6"/>
  <cols>
    <col min="1" max="1" width="18.625" bestFit="1" customWidth="1"/>
    <col min="2" max="2" width="48.25" bestFit="1" customWidth="1"/>
    <col min="3" max="3" width="15.375" bestFit="1" customWidth="1"/>
    <col min="4" max="4" width="9.8125" bestFit="1" customWidth="1"/>
    <col min="5" max="5" width="9.0625" bestFit="1" customWidth="1"/>
    <col min="6" max="6" width="9.8125" bestFit="1" customWidth="1"/>
    <col min="7" max="12" width="9.0625" bestFit="1" customWidth="1"/>
    <col min="13" max="14" width="9.8125" bestFit="1" customWidth="1"/>
    <col min="15" max="15" width="9.0625" bestFit="1" customWidth="1"/>
    <col min="16" max="16" width="10.4375" bestFit="1" customWidth="1"/>
    <col min="18" max="18" width="9.0625" bestFit="1" customWidth="1"/>
    <col min="20" max="20" width="9.0625" bestFit="1" customWidth="1"/>
    <col min="22" max="22" width="9.0625" bestFit="1" customWidth="1"/>
    <col min="24" max="26" width="9.0625" bestFit="1" customWidth="1"/>
  </cols>
  <sheetData>
    <row r="1" spans="1:26" x14ac:dyDescent="0.6">
      <c r="A1" s="14" t="s">
        <v>137</v>
      </c>
    </row>
    <row r="2" spans="1:26" x14ac:dyDescent="0.6">
      <c r="A2" s="20"/>
    </row>
    <row r="3" spans="1:26" x14ac:dyDescent="0.6">
      <c r="A3" s="20"/>
    </row>
    <row r="4" spans="1:26" ht="27" customHeight="1" x14ac:dyDescent="0.6">
      <c r="A4" s="34" t="s">
        <v>138</v>
      </c>
      <c r="B4" s="34"/>
    </row>
    <row r="5" spans="1:26" x14ac:dyDescent="0.6">
      <c r="A5" s="20" t="s">
        <v>139</v>
      </c>
      <c r="B5" s="21" t="s">
        <v>37</v>
      </c>
    </row>
    <row r="6" spans="1:26" x14ac:dyDescent="0.6">
      <c r="A6" s="5"/>
      <c r="B6" s="6"/>
      <c r="C6" s="35" t="s">
        <v>80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/>
    </row>
    <row r="7" spans="1:26" x14ac:dyDescent="0.6">
      <c r="A7" s="22"/>
      <c r="B7" s="16"/>
      <c r="C7" s="27" t="s">
        <v>38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30"/>
    </row>
    <row r="8" spans="1:26" x14ac:dyDescent="0.6">
      <c r="A8" s="22"/>
      <c r="B8" s="16"/>
      <c r="C8" s="27" t="s">
        <v>81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30"/>
    </row>
    <row r="9" spans="1:26" ht="16.899999999999999" customHeight="1" x14ac:dyDescent="0.6">
      <c r="A9" s="22"/>
      <c r="B9" s="16"/>
      <c r="C9" s="27" t="s">
        <v>82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  <c r="O9" s="27" t="s">
        <v>83</v>
      </c>
      <c r="P9" s="28"/>
      <c r="Q9" s="28"/>
      <c r="R9" s="28"/>
      <c r="S9" s="28"/>
      <c r="T9" s="28"/>
      <c r="U9" s="28"/>
      <c r="V9" s="28"/>
      <c r="W9" s="28"/>
      <c r="X9" s="28"/>
      <c r="Y9" s="28"/>
      <c r="Z9" s="30"/>
    </row>
    <row r="10" spans="1:26" ht="16.899999999999999" customHeight="1" x14ac:dyDescent="0.6">
      <c r="A10" s="22"/>
      <c r="B10" s="16"/>
      <c r="C10" s="27" t="s">
        <v>84</v>
      </c>
      <c r="D10" s="28"/>
      <c r="E10" s="28"/>
      <c r="F10" s="28"/>
      <c r="G10" s="28"/>
      <c r="H10" s="28"/>
      <c r="I10" s="28"/>
      <c r="J10" s="28"/>
      <c r="K10" s="28"/>
      <c r="L10" s="29"/>
      <c r="M10" s="46" t="s">
        <v>85</v>
      </c>
      <c r="N10" s="47"/>
      <c r="O10" s="27" t="s">
        <v>84</v>
      </c>
      <c r="P10" s="28"/>
      <c r="Q10" s="28"/>
      <c r="R10" s="28"/>
      <c r="S10" s="28"/>
      <c r="T10" s="28"/>
      <c r="U10" s="28"/>
      <c r="V10" s="28"/>
      <c r="W10" s="28"/>
      <c r="X10" s="29"/>
      <c r="Y10" s="46" t="s">
        <v>85</v>
      </c>
      <c r="Z10" s="50"/>
    </row>
    <row r="11" spans="1:26" x14ac:dyDescent="0.6">
      <c r="A11" s="22"/>
      <c r="B11" s="16"/>
      <c r="C11" s="27" t="s">
        <v>86</v>
      </c>
      <c r="D11" s="29"/>
      <c r="E11" s="27" t="s">
        <v>87</v>
      </c>
      <c r="F11" s="29"/>
      <c r="G11" s="27" t="s">
        <v>88</v>
      </c>
      <c r="H11" s="29"/>
      <c r="I11" s="27" t="s">
        <v>89</v>
      </c>
      <c r="J11" s="29"/>
      <c r="K11" s="27" t="s">
        <v>90</v>
      </c>
      <c r="L11" s="29"/>
      <c r="M11" s="48"/>
      <c r="N11" s="49"/>
      <c r="O11" s="27" t="s">
        <v>86</v>
      </c>
      <c r="P11" s="29"/>
      <c r="Q11" s="27" t="s">
        <v>87</v>
      </c>
      <c r="R11" s="29"/>
      <c r="S11" s="27" t="s">
        <v>88</v>
      </c>
      <c r="T11" s="29"/>
      <c r="U11" s="27" t="s">
        <v>89</v>
      </c>
      <c r="V11" s="29"/>
      <c r="W11" s="27" t="s">
        <v>90</v>
      </c>
      <c r="X11" s="29"/>
      <c r="Y11" s="48"/>
      <c r="Z11" s="51"/>
    </row>
    <row r="12" spans="1:26" x14ac:dyDescent="0.6">
      <c r="A12" s="22"/>
      <c r="B12" s="16"/>
      <c r="C12" s="16" t="s">
        <v>134</v>
      </c>
      <c r="D12" s="16" t="s">
        <v>135</v>
      </c>
      <c r="E12" s="16" t="s">
        <v>134</v>
      </c>
      <c r="F12" s="16" t="s">
        <v>135</v>
      </c>
      <c r="G12" s="16" t="s">
        <v>134</v>
      </c>
      <c r="H12" s="16" t="s">
        <v>135</v>
      </c>
      <c r="I12" s="16" t="s">
        <v>134</v>
      </c>
      <c r="J12" s="16" t="s">
        <v>135</v>
      </c>
      <c r="K12" s="16" t="s">
        <v>134</v>
      </c>
      <c r="L12" s="16" t="s">
        <v>135</v>
      </c>
      <c r="M12" s="16" t="s">
        <v>134</v>
      </c>
      <c r="N12" s="16" t="s">
        <v>135</v>
      </c>
      <c r="O12" s="16" t="s">
        <v>134</v>
      </c>
      <c r="P12" s="16" t="s">
        <v>135</v>
      </c>
      <c r="Q12" s="16" t="s">
        <v>134</v>
      </c>
      <c r="R12" s="16" t="s">
        <v>135</v>
      </c>
      <c r="S12" s="16" t="s">
        <v>134</v>
      </c>
      <c r="T12" s="16" t="s">
        <v>135</v>
      </c>
      <c r="U12" s="16" t="s">
        <v>134</v>
      </c>
      <c r="V12" s="16" t="s">
        <v>135</v>
      </c>
      <c r="W12" s="16" t="s">
        <v>134</v>
      </c>
      <c r="X12" s="16" t="s">
        <v>135</v>
      </c>
      <c r="Y12" s="16" t="s">
        <v>134</v>
      </c>
      <c r="Z12" s="42" t="s">
        <v>135</v>
      </c>
    </row>
    <row r="13" spans="1:26" x14ac:dyDescent="0.6">
      <c r="A13" s="38" t="s">
        <v>91</v>
      </c>
      <c r="B13" s="39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23"/>
    </row>
    <row r="14" spans="1:26" ht="27" x14ac:dyDescent="0.6">
      <c r="A14" s="31" t="s">
        <v>91</v>
      </c>
      <c r="B14" s="17" t="s">
        <v>92</v>
      </c>
      <c r="C14" s="4">
        <v>290189</v>
      </c>
      <c r="D14" s="4">
        <v>577752</v>
      </c>
      <c r="E14" s="4">
        <v>316446</v>
      </c>
      <c r="F14" s="4">
        <v>623221</v>
      </c>
      <c r="G14" s="4">
        <v>94892</v>
      </c>
      <c r="H14" s="4">
        <v>181281</v>
      </c>
      <c r="I14" s="4">
        <v>104653</v>
      </c>
      <c r="J14" s="4">
        <v>209803</v>
      </c>
      <c r="K14" s="8">
        <v>0</v>
      </c>
      <c r="L14" s="8">
        <v>0</v>
      </c>
      <c r="M14" s="4">
        <v>806180</v>
      </c>
      <c r="N14" s="4">
        <v>1592057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1"/>
    </row>
    <row r="15" spans="1:26" x14ac:dyDescent="0.6">
      <c r="A15" s="32"/>
      <c r="B15" s="17" t="s">
        <v>93</v>
      </c>
      <c r="C15" s="4">
        <v>14747</v>
      </c>
      <c r="D15" s="4">
        <v>30530</v>
      </c>
      <c r="E15" s="4">
        <v>15543</v>
      </c>
      <c r="F15" s="4">
        <v>32573</v>
      </c>
      <c r="G15" s="4">
        <v>3345</v>
      </c>
      <c r="H15" s="4">
        <v>6409</v>
      </c>
      <c r="I15" s="4">
        <v>3553</v>
      </c>
      <c r="J15" s="4">
        <v>6554</v>
      </c>
      <c r="K15" s="8">
        <v>0</v>
      </c>
      <c r="L15" s="8">
        <v>0</v>
      </c>
      <c r="M15" s="4">
        <v>37188</v>
      </c>
      <c r="N15" s="4">
        <v>76066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1"/>
    </row>
    <row r="16" spans="1:26" ht="27" x14ac:dyDescent="0.6">
      <c r="A16" s="32"/>
      <c r="B16" s="17" t="s">
        <v>94</v>
      </c>
      <c r="C16" s="4">
        <v>63181</v>
      </c>
      <c r="D16" s="4">
        <v>131641</v>
      </c>
      <c r="E16" s="4">
        <v>103194</v>
      </c>
      <c r="F16" s="4">
        <v>203607</v>
      </c>
      <c r="G16" s="4">
        <v>29168</v>
      </c>
      <c r="H16" s="4">
        <v>58584</v>
      </c>
      <c r="I16" s="8">
        <v>298</v>
      </c>
      <c r="J16" s="8">
        <v>647</v>
      </c>
      <c r="K16" s="8">
        <v>0</v>
      </c>
      <c r="L16" s="8">
        <v>0</v>
      </c>
      <c r="M16" s="4">
        <v>195841</v>
      </c>
      <c r="N16" s="4">
        <v>394479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1"/>
    </row>
    <row r="17" spans="1:26" x14ac:dyDescent="0.6">
      <c r="A17" s="32"/>
      <c r="B17" s="17" t="s">
        <v>95</v>
      </c>
      <c r="C17" s="4">
        <v>-2317</v>
      </c>
      <c r="D17" s="4">
        <v>-3367</v>
      </c>
      <c r="E17" s="4">
        <v>-6984</v>
      </c>
      <c r="F17" s="4">
        <v>-10359</v>
      </c>
      <c r="G17" s="4">
        <v>-5114</v>
      </c>
      <c r="H17" s="4">
        <v>-10000</v>
      </c>
      <c r="I17" s="4">
        <v>-1072</v>
      </c>
      <c r="J17" s="4">
        <v>-1233</v>
      </c>
      <c r="K17" s="8">
        <v>0</v>
      </c>
      <c r="L17" s="8">
        <v>0</v>
      </c>
      <c r="M17" s="4">
        <v>-15487</v>
      </c>
      <c r="N17" s="4">
        <v>-24959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1"/>
    </row>
    <row r="18" spans="1:26" ht="27" x14ac:dyDescent="0.6">
      <c r="A18" s="32"/>
      <c r="B18" s="17" t="s">
        <v>96</v>
      </c>
      <c r="C18" s="4">
        <v>136859</v>
      </c>
      <c r="D18" s="4">
        <v>272640</v>
      </c>
      <c r="E18" s="4">
        <v>86037</v>
      </c>
      <c r="F18" s="4">
        <v>163165</v>
      </c>
      <c r="G18" s="4">
        <v>20501</v>
      </c>
      <c r="H18" s="4">
        <v>40171</v>
      </c>
      <c r="I18" s="4">
        <v>1629</v>
      </c>
      <c r="J18" s="4">
        <v>3386</v>
      </c>
      <c r="K18" s="8">
        <v>0</v>
      </c>
      <c r="L18" s="8">
        <v>0</v>
      </c>
      <c r="M18" s="4">
        <v>245026</v>
      </c>
      <c r="N18" s="4">
        <v>479362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1"/>
    </row>
    <row r="19" spans="1:26" x14ac:dyDescent="0.6">
      <c r="A19" s="32"/>
      <c r="B19" s="17" t="s">
        <v>97</v>
      </c>
      <c r="C19" s="4">
        <v>4784</v>
      </c>
      <c r="D19" s="4">
        <v>3064</v>
      </c>
      <c r="E19" s="4">
        <v>3903</v>
      </c>
      <c r="F19" s="4">
        <v>4821</v>
      </c>
      <c r="G19" s="8">
        <v>687</v>
      </c>
      <c r="H19" s="4">
        <v>4121</v>
      </c>
      <c r="I19" s="8">
        <v>0</v>
      </c>
      <c r="J19" s="8">
        <v>0</v>
      </c>
      <c r="K19" s="8">
        <v>0</v>
      </c>
      <c r="L19" s="8">
        <v>0</v>
      </c>
      <c r="M19" s="4">
        <v>9374</v>
      </c>
      <c r="N19" s="4">
        <v>12006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1"/>
    </row>
    <row r="20" spans="1:26" x14ac:dyDescent="0.6">
      <c r="A20" s="33"/>
      <c r="B20" s="24" t="s">
        <v>98</v>
      </c>
      <c r="C20" s="25">
        <v>507443</v>
      </c>
      <c r="D20" s="25">
        <v>1012260</v>
      </c>
      <c r="E20" s="25">
        <v>518139</v>
      </c>
      <c r="F20" s="25">
        <v>1017028</v>
      </c>
      <c r="G20" s="25">
        <v>143479</v>
      </c>
      <c r="H20" s="25">
        <v>280566</v>
      </c>
      <c r="I20" s="25">
        <v>109061</v>
      </c>
      <c r="J20" s="25">
        <v>219157</v>
      </c>
      <c r="K20" s="18">
        <v>0</v>
      </c>
      <c r="L20" s="18">
        <v>0</v>
      </c>
      <c r="M20" s="25">
        <v>1278122</v>
      </c>
      <c r="N20" s="25">
        <v>2529011</v>
      </c>
      <c r="O20" s="25">
        <v>3362</v>
      </c>
      <c r="P20" s="25">
        <v>6650</v>
      </c>
      <c r="Q20" s="18"/>
      <c r="R20" s="18">
        <v>0</v>
      </c>
      <c r="S20" s="18"/>
      <c r="T20" s="18">
        <v>0</v>
      </c>
      <c r="U20" s="18"/>
      <c r="V20" s="18">
        <v>0</v>
      </c>
      <c r="W20" s="18"/>
      <c r="X20" s="18">
        <v>0</v>
      </c>
      <c r="Y20" s="25">
        <v>3362</v>
      </c>
      <c r="Z20" s="26">
        <v>6650</v>
      </c>
    </row>
    <row r="21" spans="1:26" x14ac:dyDescent="0.6">
      <c r="A21" s="20"/>
    </row>
    <row r="22" spans="1:26" ht="16.899999999999999" customHeight="1" x14ac:dyDescent="0.6">
      <c r="A22" s="20" t="s">
        <v>140</v>
      </c>
      <c r="B22" s="21" t="s">
        <v>37</v>
      </c>
    </row>
    <row r="23" spans="1:26" x14ac:dyDescent="0.6">
      <c r="A23" s="5"/>
      <c r="B23" s="6"/>
      <c r="C23" s="35" t="s">
        <v>80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</row>
    <row r="24" spans="1:26" x14ac:dyDescent="0.6">
      <c r="A24" s="22"/>
      <c r="B24" s="16"/>
      <c r="C24" s="27" t="s">
        <v>38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30"/>
    </row>
    <row r="25" spans="1:26" x14ac:dyDescent="0.6">
      <c r="A25" s="22"/>
      <c r="B25" s="16"/>
      <c r="C25" s="27" t="s">
        <v>81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30"/>
    </row>
    <row r="26" spans="1:26" x14ac:dyDescent="0.6">
      <c r="A26" s="22"/>
      <c r="B26" s="16"/>
      <c r="C26" s="27" t="s">
        <v>82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9"/>
      <c r="O26" s="27" t="s">
        <v>83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30"/>
    </row>
    <row r="27" spans="1:26" ht="16.899999999999999" customHeight="1" x14ac:dyDescent="0.6">
      <c r="A27" s="22"/>
      <c r="B27" s="16"/>
      <c r="C27" s="27" t="s">
        <v>84</v>
      </c>
      <c r="D27" s="28"/>
      <c r="E27" s="28"/>
      <c r="F27" s="28"/>
      <c r="G27" s="28"/>
      <c r="H27" s="28"/>
      <c r="I27" s="28"/>
      <c r="J27" s="28"/>
      <c r="K27" s="28"/>
      <c r="L27" s="29"/>
      <c r="M27" s="46" t="s">
        <v>85</v>
      </c>
      <c r="N27" s="47"/>
      <c r="O27" s="27" t="s">
        <v>84</v>
      </c>
      <c r="P27" s="28"/>
      <c r="Q27" s="28"/>
      <c r="R27" s="28"/>
      <c r="S27" s="28"/>
      <c r="T27" s="28"/>
      <c r="U27" s="28"/>
      <c r="V27" s="28"/>
      <c r="W27" s="28"/>
      <c r="X27" s="29"/>
      <c r="Y27" s="46" t="s">
        <v>85</v>
      </c>
      <c r="Z27" s="50"/>
    </row>
    <row r="28" spans="1:26" ht="16.899999999999999" customHeight="1" x14ac:dyDescent="0.6">
      <c r="A28" s="22"/>
      <c r="B28" s="16"/>
      <c r="C28" s="27" t="s">
        <v>86</v>
      </c>
      <c r="D28" s="29"/>
      <c r="E28" s="27" t="s">
        <v>87</v>
      </c>
      <c r="F28" s="29"/>
      <c r="G28" s="27" t="s">
        <v>88</v>
      </c>
      <c r="H28" s="29"/>
      <c r="I28" s="27" t="s">
        <v>89</v>
      </c>
      <c r="J28" s="29"/>
      <c r="K28" s="27" t="s">
        <v>90</v>
      </c>
      <c r="L28" s="29"/>
      <c r="M28" s="48"/>
      <c r="N28" s="49"/>
      <c r="O28" s="27" t="s">
        <v>86</v>
      </c>
      <c r="P28" s="29"/>
      <c r="Q28" s="27" t="s">
        <v>87</v>
      </c>
      <c r="R28" s="29"/>
      <c r="S28" s="27" t="s">
        <v>88</v>
      </c>
      <c r="T28" s="29"/>
      <c r="U28" s="27" t="s">
        <v>89</v>
      </c>
      <c r="V28" s="29"/>
      <c r="W28" s="27" t="s">
        <v>90</v>
      </c>
      <c r="X28" s="29"/>
      <c r="Y28" s="48"/>
      <c r="Z28" s="51"/>
    </row>
    <row r="29" spans="1:26" x14ac:dyDescent="0.6">
      <c r="A29" s="22"/>
      <c r="B29" s="16"/>
      <c r="C29" s="16" t="s">
        <v>134</v>
      </c>
      <c r="D29" s="16" t="s">
        <v>135</v>
      </c>
      <c r="E29" s="16" t="s">
        <v>134</v>
      </c>
      <c r="F29" s="16" t="s">
        <v>135</v>
      </c>
      <c r="G29" s="16" t="s">
        <v>134</v>
      </c>
      <c r="H29" s="16" t="s">
        <v>135</v>
      </c>
      <c r="I29" s="16" t="s">
        <v>134</v>
      </c>
      <c r="J29" s="16" t="s">
        <v>135</v>
      </c>
      <c r="K29" s="16" t="s">
        <v>134</v>
      </c>
      <c r="L29" s="16" t="s">
        <v>135</v>
      </c>
      <c r="M29" s="16" t="s">
        <v>134</v>
      </c>
      <c r="N29" s="16" t="s">
        <v>135</v>
      </c>
      <c r="O29" s="16" t="s">
        <v>134</v>
      </c>
      <c r="P29" s="16" t="s">
        <v>135</v>
      </c>
      <c r="Q29" s="16" t="s">
        <v>134</v>
      </c>
      <c r="R29" s="16" t="s">
        <v>135</v>
      </c>
      <c r="S29" s="16" t="s">
        <v>134</v>
      </c>
      <c r="T29" s="16" t="s">
        <v>135</v>
      </c>
      <c r="U29" s="16" t="s">
        <v>134</v>
      </c>
      <c r="V29" s="16" t="s">
        <v>135</v>
      </c>
      <c r="W29" s="16" t="s">
        <v>134</v>
      </c>
      <c r="X29" s="16" t="s">
        <v>135</v>
      </c>
      <c r="Y29" s="16" t="s">
        <v>134</v>
      </c>
      <c r="Z29" s="42" t="s">
        <v>135</v>
      </c>
    </row>
    <row r="30" spans="1:26" x14ac:dyDescent="0.6">
      <c r="A30" s="38" t="s">
        <v>91</v>
      </c>
      <c r="B30" s="3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23"/>
    </row>
    <row r="31" spans="1:26" ht="27" x14ac:dyDescent="0.6">
      <c r="A31" s="31" t="s">
        <v>91</v>
      </c>
      <c r="B31" s="17" t="s">
        <v>92</v>
      </c>
      <c r="C31" s="4">
        <v>285957</v>
      </c>
      <c r="D31" s="4">
        <v>570875</v>
      </c>
      <c r="E31" s="4">
        <v>284406</v>
      </c>
      <c r="F31" s="4">
        <v>562861</v>
      </c>
      <c r="G31" s="4">
        <v>76756</v>
      </c>
      <c r="H31" s="4">
        <v>144758</v>
      </c>
      <c r="I31" s="4">
        <v>111487</v>
      </c>
      <c r="J31" s="4">
        <v>223045</v>
      </c>
      <c r="K31" s="8">
        <v>0</v>
      </c>
      <c r="L31" s="8">
        <v>0</v>
      </c>
      <c r="M31" s="4">
        <v>758606</v>
      </c>
      <c r="N31" s="4">
        <v>1501539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1"/>
    </row>
    <row r="32" spans="1:26" x14ac:dyDescent="0.6">
      <c r="A32" s="32"/>
      <c r="B32" s="17" t="s">
        <v>93</v>
      </c>
      <c r="C32" s="4">
        <v>15939</v>
      </c>
      <c r="D32" s="4">
        <v>28222</v>
      </c>
      <c r="E32" s="4">
        <v>14355</v>
      </c>
      <c r="F32" s="4">
        <v>25382</v>
      </c>
      <c r="G32" s="4">
        <v>2470</v>
      </c>
      <c r="H32" s="4">
        <v>4267</v>
      </c>
      <c r="I32" s="4">
        <v>2986</v>
      </c>
      <c r="J32" s="4">
        <v>5880</v>
      </c>
      <c r="K32" s="8">
        <v>0</v>
      </c>
      <c r="L32" s="8">
        <v>0</v>
      </c>
      <c r="M32" s="4">
        <v>35750</v>
      </c>
      <c r="N32" s="4">
        <v>63751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1"/>
    </row>
    <row r="33" spans="1:26" ht="27" x14ac:dyDescent="0.6">
      <c r="A33" s="32"/>
      <c r="B33" s="17" t="s">
        <v>94</v>
      </c>
      <c r="C33" s="4">
        <v>82539</v>
      </c>
      <c r="D33" s="4">
        <v>168390</v>
      </c>
      <c r="E33" s="4">
        <v>98707</v>
      </c>
      <c r="F33" s="4">
        <v>197113</v>
      </c>
      <c r="G33" s="4">
        <v>24909</v>
      </c>
      <c r="H33" s="4">
        <v>48387</v>
      </c>
      <c r="I33" s="4">
        <v>9296</v>
      </c>
      <c r="J33" s="4">
        <v>21865</v>
      </c>
      <c r="K33" s="8">
        <v>0</v>
      </c>
      <c r="L33" s="8">
        <v>0</v>
      </c>
      <c r="M33" s="4">
        <v>215451</v>
      </c>
      <c r="N33" s="4">
        <v>435755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1"/>
    </row>
    <row r="34" spans="1:26" x14ac:dyDescent="0.6">
      <c r="A34" s="32"/>
      <c r="B34" s="17" t="s">
        <v>95</v>
      </c>
      <c r="C34" s="8">
        <v>-242</v>
      </c>
      <c r="D34" s="8">
        <v>-487</v>
      </c>
      <c r="E34" s="4">
        <v>-3624</v>
      </c>
      <c r="F34" s="4">
        <v>-8246</v>
      </c>
      <c r="G34" s="4">
        <v>-3258</v>
      </c>
      <c r="H34" s="4">
        <v>-6706</v>
      </c>
      <c r="I34" s="8">
        <v>-15</v>
      </c>
      <c r="J34" s="8">
        <v>-45</v>
      </c>
      <c r="K34" s="8">
        <v>0</v>
      </c>
      <c r="L34" s="8">
        <v>0</v>
      </c>
      <c r="M34" s="4">
        <v>-7139</v>
      </c>
      <c r="N34" s="4">
        <v>-15484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1"/>
    </row>
    <row r="35" spans="1:26" ht="27" x14ac:dyDescent="0.6">
      <c r="A35" s="32"/>
      <c r="B35" s="17" t="s">
        <v>96</v>
      </c>
      <c r="C35" s="4">
        <v>133893</v>
      </c>
      <c r="D35" s="4">
        <v>265384</v>
      </c>
      <c r="E35" s="4">
        <v>58941</v>
      </c>
      <c r="F35" s="4">
        <v>113221</v>
      </c>
      <c r="G35" s="4">
        <v>14723</v>
      </c>
      <c r="H35" s="4">
        <v>28510</v>
      </c>
      <c r="I35" s="4">
        <v>2045</v>
      </c>
      <c r="J35" s="4">
        <v>4194</v>
      </c>
      <c r="K35" s="8">
        <v>0</v>
      </c>
      <c r="L35" s="8">
        <v>0</v>
      </c>
      <c r="M35" s="4">
        <v>209602</v>
      </c>
      <c r="N35" s="4">
        <v>411309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1"/>
    </row>
    <row r="36" spans="1:26" x14ac:dyDescent="0.6">
      <c r="A36" s="32"/>
      <c r="B36" s="17" t="s">
        <v>97</v>
      </c>
      <c r="C36" s="4">
        <v>-6100</v>
      </c>
      <c r="D36" s="8">
        <v>-177</v>
      </c>
      <c r="E36" s="4">
        <v>-5795</v>
      </c>
      <c r="F36" s="4">
        <v>-2373</v>
      </c>
      <c r="G36" s="4">
        <v>-2484</v>
      </c>
      <c r="H36" s="4">
        <v>-4226</v>
      </c>
      <c r="I36" s="8">
        <v>0</v>
      </c>
      <c r="J36" s="8">
        <v>6</v>
      </c>
      <c r="K36" s="8">
        <v>0</v>
      </c>
      <c r="L36" s="8">
        <v>0</v>
      </c>
      <c r="M36" s="4">
        <v>-14379</v>
      </c>
      <c r="N36" s="4">
        <v>-6770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1"/>
    </row>
    <row r="37" spans="1:26" x14ac:dyDescent="0.6">
      <c r="A37" s="33"/>
      <c r="B37" s="24" t="s">
        <v>98</v>
      </c>
      <c r="C37" s="25">
        <v>511986</v>
      </c>
      <c r="D37" s="25">
        <v>1032207</v>
      </c>
      <c r="E37" s="25">
        <v>446990</v>
      </c>
      <c r="F37" s="25">
        <v>887958</v>
      </c>
      <c r="G37" s="25">
        <v>113116</v>
      </c>
      <c r="H37" s="25">
        <v>214990</v>
      </c>
      <c r="I37" s="25">
        <v>125799</v>
      </c>
      <c r="J37" s="25">
        <v>254945</v>
      </c>
      <c r="K37" s="18">
        <v>0</v>
      </c>
      <c r="L37" s="18">
        <v>0</v>
      </c>
      <c r="M37" s="25">
        <v>1197891</v>
      </c>
      <c r="N37" s="25">
        <v>2390100</v>
      </c>
      <c r="O37" s="25">
        <v>4371</v>
      </c>
      <c r="P37" s="25">
        <v>8715</v>
      </c>
      <c r="Q37" s="18"/>
      <c r="R37" s="18">
        <v>0</v>
      </c>
      <c r="S37" s="18"/>
      <c r="T37" s="18">
        <v>0</v>
      </c>
      <c r="U37" s="18"/>
      <c r="V37" s="18">
        <v>0</v>
      </c>
      <c r="W37" s="18"/>
      <c r="X37" s="18">
        <v>0</v>
      </c>
      <c r="Y37" s="25">
        <v>4371</v>
      </c>
      <c r="Z37" s="26">
        <v>8715</v>
      </c>
    </row>
    <row r="38" spans="1:26" ht="16.899999999999999" customHeight="1" x14ac:dyDescent="0.6">
      <c r="A38" s="20"/>
    </row>
    <row r="39" spans="1:26" x14ac:dyDescent="0.6">
      <c r="A39" s="34" t="s">
        <v>39</v>
      </c>
      <c r="B39" s="34"/>
    </row>
    <row r="40" spans="1:26" x14ac:dyDescent="0.6">
      <c r="A40" s="20" t="s">
        <v>139</v>
      </c>
      <c r="B40" s="21" t="s">
        <v>37</v>
      </c>
    </row>
    <row r="41" spans="1:26" x14ac:dyDescent="0.6">
      <c r="A41" s="5"/>
      <c r="B41" s="35" t="s">
        <v>80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7"/>
    </row>
    <row r="42" spans="1:26" ht="16.899999999999999" customHeight="1" x14ac:dyDescent="0.6">
      <c r="A42" s="22"/>
      <c r="B42" s="27" t="s">
        <v>38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30"/>
    </row>
    <row r="43" spans="1:26" x14ac:dyDescent="0.6">
      <c r="A43" s="22"/>
      <c r="B43" s="27" t="s">
        <v>81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30"/>
    </row>
    <row r="44" spans="1:26" x14ac:dyDescent="0.6">
      <c r="A44" s="22"/>
      <c r="B44" s="27" t="s">
        <v>82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7" t="s">
        <v>83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30"/>
    </row>
    <row r="45" spans="1:26" x14ac:dyDescent="0.6">
      <c r="A45" s="22"/>
      <c r="B45" s="27" t="s">
        <v>84</v>
      </c>
      <c r="C45" s="28"/>
      <c r="D45" s="28"/>
      <c r="E45" s="28"/>
      <c r="F45" s="28"/>
      <c r="G45" s="28"/>
      <c r="H45" s="28"/>
      <c r="I45" s="28"/>
      <c r="J45" s="28"/>
      <c r="K45" s="29"/>
      <c r="L45" s="46" t="s">
        <v>85</v>
      </c>
      <c r="M45" s="47"/>
      <c r="N45" s="27" t="s">
        <v>84</v>
      </c>
      <c r="O45" s="28"/>
      <c r="P45" s="28"/>
      <c r="Q45" s="28"/>
      <c r="R45" s="28"/>
      <c r="S45" s="28"/>
      <c r="T45" s="28"/>
      <c r="U45" s="28"/>
      <c r="V45" s="28"/>
      <c r="W45" s="29"/>
      <c r="X45" s="46" t="s">
        <v>85</v>
      </c>
      <c r="Y45" s="50"/>
    </row>
    <row r="46" spans="1:26" x14ac:dyDescent="0.6">
      <c r="A46" s="22"/>
      <c r="B46" s="27" t="s">
        <v>86</v>
      </c>
      <c r="C46" s="29"/>
      <c r="D46" s="27" t="s">
        <v>87</v>
      </c>
      <c r="E46" s="29"/>
      <c r="F46" s="27" t="s">
        <v>88</v>
      </c>
      <c r="G46" s="29"/>
      <c r="H46" s="27" t="s">
        <v>89</v>
      </c>
      <c r="I46" s="29"/>
      <c r="J46" s="27" t="s">
        <v>90</v>
      </c>
      <c r="K46" s="29"/>
      <c r="L46" s="48"/>
      <c r="M46" s="49"/>
      <c r="N46" s="27" t="s">
        <v>86</v>
      </c>
      <c r="O46" s="29"/>
      <c r="P46" s="27" t="s">
        <v>87</v>
      </c>
      <c r="Q46" s="29"/>
      <c r="R46" s="27" t="s">
        <v>88</v>
      </c>
      <c r="S46" s="29"/>
      <c r="T46" s="27" t="s">
        <v>89</v>
      </c>
      <c r="U46" s="29"/>
      <c r="V46" s="27" t="s">
        <v>90</v>
      </c>
      <c r="W46" s="29"/>
      <c r="X46" s="48"/>
      <c r="Y46" s="51"/>
    </row>
    <row r="47" spans="1:26" x14ac:dyDescent="0.6">
      <c r="A47" s="22"/>
      <c r="B47" s="16" t="s">
        <v>134</v>
      </c>
      <c r="C47" s="16" t="s">
        <v>135</v>
      </c>
      <c r="D47" s="16" t="s">
        <v>134</v>
      </c>
      <c r="E47" s="16" t="s">
        <v>135</v>
      </c>
      <c r="F47" s="16" t="s">
        <v>134</v>
      </c>
      <c r="G47" s="16" t="s">
        <v>135</v>
      </c>
      <c r="H47" s="16" t="s">
        <v>134</v>
      </c>
      <c r="I47" s="16" t="s">
        <v>135</v>
      </c>
      <c r="J47" s="16" t="s">
        <v>134</v>
      </c>
      <c r="K47" s="16" t="s">
        <v>135</v>
      </c>
      <c r="L47" s="16" t="s">
        <v>134</v>
      </c>
      <c r="M47" s="16" t="s">
        <v>135</v>
      </c>
      <c r="N47" s="16" t="s">
        <v>134</v>
      </c>
      <c r="O47" s="16" t="s">
        <v>135</v>
      </c>
      <c r="P47" s="16" t="s">
        <v>134</v>
      </c>
      <c r="Q47" s="16" t="s">
        <v>135</v>
      </c>
      <c r="R47" s="16" t="s">
        <v>134</v>
      </c>
      <c r="S47" s="16" t="s">
        <v>135</v>
      </c>
      <c r="T47" s="16" t="s">
        <v>134</v>
      </c>
      <c r="U47" s="16" t="s">
        <v>135</v>
      </c>
      <c r="V47" s="16" t="s">
        <v>134</v>
      </c>
      <c r="W47" s="16" t="s">
        <v>135</v>
      </c>
      <c r="X47" s="16" t="s">
        <v>134</v>
      </c>
      <c r="Y47" s="42" t="s">
        <v>135</v>
      </c>
    </row>
    <row r="48" spans="1:26" ht="54" x14ac:dyDescent="0.6">
      <c r="A48" s="9" t="s">
        <v>99</v>
      </c>
      <c r="B48" s="4">
        <v>316800</v>
      </c>
      <c r="C48" s="4">
        <v>642393</v>
      </c>
      <c r="D48" s="4">
        <v>347338</v>
      </c>
      <c r="E48" s="4">
        <v>679549</v>
      </c>
      <c r="F48" s="4">
        <v>75193</v>
      </c>
      <c r="G48" s="4">
        <v>144427</v>
      </c>
      <c r="H48" s="4">
        <v>120112</v>
      </c>
      <c r="I48" s="4">
        <v>248905</v>
      </c>
      <c r="J48" s="8">
        <v>64</v>
      </c>
      <c r="K48" s="8">
        <v>134</v>
      </c>
      <c r="L48" s="4">
        <v>859507</v>
      </c>
      <c r="M48" s="4">
        <v>1715408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11"/>
    </row>
    <row r="49" spans="1:25" ht="40.5" x14ac:dyDescent="0.6">
      <c r="A49" s="9" t="s">
        <v>100</v>
      </c>
      <c r="B49" s="4">
        <v>136859</v>
      </c>
      <c r="C49" s="4">
        <v>272640</v>
      </c>
      <c r="D49" s="4">
        <v>86037</v>
      </c>
      <c r="E49" s="4">
        <v>163165</v>
      </c>
      <c r="F49" s="4">
        <v>20501</v>
      </c>
      <c r="G49" s="4">
        <v>40171</v>
      </c>
      <c r="H49" s="4">
        <v>1629</v>
      </c>
      <c r="I49" s="4">
        <v>3386</v>
      </c>
      <c r="J49" s="8">
        <v>0</v>
      </c>
      <c r="K49" s="8">
        <v>0</v>
      </c>
      <c r="L49" s="4">
        <v>245026</v>
      </c>
      <c r="M49" s="4">
        <v>479362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11"/>
    </row>
    <row r="50" spans="1:25" ht="27" x14ac:dyDescent="0.6">
      <c r="A50" s="9" t="s">
        <v>101</v>
      </c>
      <c r="B50" s="4">
        <v>-32674</v>
      </c>
      <c r="C50" s="4">
        <v>-73222</v>
      </c>
      <c r="D50" s="4">
        <v>28117</v>
      </c>
      <c r="E50" s="4">
        <v>38443</v>
      </c>
      <c r="F50" s="4">
        <v>-3257</v>
      </c>
      <c r="G50" s="4">
        <v>-6928</v>
      </c>
      <c r="H50" s="4">
        <v>-13750</v>
      </c>
      <c r="I50" s="4">
        <v>-27540</v>
      </c>
      <c r="J50" s="8">
        <v>0</v>
      </c>
      <c r="K50" s="8">
        <v>0</v>
      </c>
      <c r="L50" s="4">
        <v>-21564</v>
      </c>
      <c r="M50" s="4">
        <v>-69247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11"/>
    </row>
    <row r="51" spans="1:25" ht="40.5" x14ac:dyDescent="0.6">
      <c r="A51" s="9" t="s">
        <v>102</v>
      </c>
      <c r="B51" s="4">
        <v>17318</v>
      </c>
      <c r="C51" s="4">
        <v>19884</v>
      </c>
      <c r="D51" s="4">
        <v>54546</v>
      </c>
      <c r="E51" s="4">
        <v>77317</v>
      </c>
      <c r="F51" s="4">
        <v>-12838</v>
      </c>
      <c r="G51" s="4">
        <v>3829</v>
      </c>
      <c r="H51" s="4">
        <v>30276</v>
      </c>
      <c r="I51" s="4">
        <v>58672</v>
      </c>
      <c r="J51" s="8">
        <v>0</v>
      </c>
      <c r="K51" s="8">
        <v>0</v>
      </c>
      <c r="L51" s="4">
        <v>89302</v>
      </c>
      <c r="M51" s="4">
        <v>159702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11"/>
    </row>
    <row r="52" spans="1:25" ht="16.899999999999999" customHeight="1" x14ac:dyDescent="0.6">
      <c r="A52" s="7" t="s">
        <v>103</v>
      </c>
      <c r="B52" s="25">
        <v>438303</v>
      </c>
      <c r="C52" s="25">
        <v>861695</v>
      </c>
      <c r="D52" s="25">
        <v>516038</v>
      </c>
      <c r="E52" s="25">
        <v>958474</v>
      </c>
      <c r="F52" s="25">
        <v>79599</v>
      </c>
      <c r="G52" s="25">
        <v>181499</v>
      </c>
      <c r="H52" s="25">
        <v>138267</v>
      </c>
      <c r="I52" s="25">
        <v>283423</v>
      </c>
      <c r="J52" s="18">
        <v>64</v>
      </c>
      <c r="K52" s="18">
        <v>134</v>
      </c>
      <c r="L52" s="25">
        <v>1172271</v>
      </c>
      <c r="M52" s="25">
        <v>2285225</v>
      </c>
      <c r="N52" s="25">
        <v>3085</v>
      </c>
      <c r="O52" s="25">
        <v>7562</v>
      </c>
      <c r="P52" s="18"/>
      <c r="Q52" s="18">
        <v>0</v>
      </c>
      <c r="R52" s="18"/>
      <c r="S52" s="18">
        <v>0</v>
      </c>
      <c r="T52" s="18"/>
      <c r="U52" s="18">
        <v>0</v>
      </c>
      <c r="V52" s="18"/>
      <c r="W52" s="18">
        <v>0</v>
      </c>
      <c r="X52" s="25">
        <v>3085</v>
      </c>
      <c r="Y52" s="26">
        <v>7562</v>
      </c>
    </row>
    <row r="53" spans="1:25" x14ac:dyDescent="0.6">
      <c r="A53" s="20"/>
    </row>
    <row r="54" spans="1:25" x14ac:dyDescent="0.6">
      <c r="A54" s="20" t="s">
        <v>140</v>
      </c>
      <c r="B54" s="21" t="s">
        <v>37</v>
      </c>
    </row>
    <row r="55" spans="1:25" x14ac:dyDescent="0.6">
      <c r="A55" s="5"/>
      <c r="B55" s="35" t="s">
        <v>80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7"/>
    </row>
    <row r="56" spans="1:25" x14ac:dyDescent="0.6">
      <c r="A56" s="22"/>
      <c r="B56" s="27" t="s">
        <v>38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30"/>
    </row>
    <row r="57" spans="1:25" ht="16.899999999999999" customHeight="1" x14ac:dyDescent="0.6">
      <c r="A57" s="22"/>
      <c r="B57" s="27" t="s">
        <v>81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30"/>
    </row>
    <row r="58" spans="1:25" ht="16.899999999999999" customHeight="1" x14ac:dyDescent="0.6">
      <c r="A58" s="22"/>
      <c r="B58" s="27" t="s">
        <v>82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9"/>
      <c r="N58" s="27" t="s">
        <v>83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30"/>
    </row>
    <row r="59" spans="1:25" x14ac:dyDescent="0.6">
      <c r="A59" s="22"/>
      <c r="B59" s="27" t="s">
        <v>84</v>
      </c>
      <c r="C59" s="28"/>
      <c r="D59" s="28"/>
      <c r="E59" s="28"/>
      <c r="F59" s="28"/>
      <c r="G59" s="28"/>
      <c r="H59" s="28"/>
      <c r="I59" s="28"/>
      <c r="J59" s="28"/>
      <c r="K59" s="29"/>
      <c r="L59" s="46" t="s">
        <v>85</v>
      </c>
      <c r="M59" s="47"/>
      <c r="N59" s="27" t="s">
        <v>84</v>
      </c>
      <c r="O59" s="28"/>
      <c r="P59" s="28"/>
      <c r="Q59" s="28"/>
      <c r="R59" s="28"/>
      <c r="S59" s="28"/>
      <c r="T59" s="28"/>
      <c r="U59" s="28"/>
      <c r="V59" s="28"/>
      <c r="W59" s="29"/>
      <c r="X59" s="46" t="s">
        <v>85</v>
      </c>
      <c r="Y59" s="50"/>
    </row>
    <row r="60" spans="1:25" x14ac:dyDescent="0.6">
      <c r="A60" s="22"/>
      <c r="B60" s="27" t="s">
        <v>86</v>
      </c>
      <c r="C60" s="29"/>
      <c r="D60" s="27" t="s">
        <v>87</v>
      </c>
      <c r="E60" s="29"/>
      <c r="F60" s="27" t="s">
        <v>88</v>
      </c>
      <c r="G60" s="29"/>
      <c r="H60" s="27" t="s">
        <v>89</v>
      </c>
      <c r="I60" s="29"/>
      <c r="J60" s="27" t="s">
        <v>90</v>
      </c>
      <c r="K60" s="29"/>
      <c r="L60" s="48"/>
      <c r="M60" s="49"/>
      <c r="N60" s="27" t="s">
        <v>86</v>
      </c>
      <c r="O60" s="29"/>
      <c r="P60" s="27" t="s">
        <v>87</v>
      </c>
      <c r="Q60" s="29"/>
      <c r="R60" s="27" t="s">
        <v>88</v>
      </c>
      <c r="S60" s="29"/>
      <c r="T60" s="27" t="s">
        <v>89</v>
      </c>
      <c r="U60" s="29"/>
      <c r="V60" s="27" t="s">
        <v>90</v>
      </c>
      <c r="W60" s="29"/>
      <c r="X60" s="48"/>
      <c r="Y60" s="51"/>
    </row>
    <row r="61" spans="1:25" x14ac:dyDescent="0.6">
      <c r="A61" s="22"/>
      <c r="B61" s="16" t="s">
        <v>134</v>
      </c>
      <c r="C61" s="16" t="s">
        <v>135</v>
      </c>
      <c r="D61" s="16" t="s">
        <v>134</v>
      </c>
      <c r="E61" s="16" t="s">
        <v>135</v>
      </c>
      <c r="F61" s="16" t="s">
        <v>134</v>
      </c>
      <c r="G61" s="16" t="s">
        <v>135</v>
      </c>
      <c r="H61" s="16" t="s">
        <v>134</v>
      </c>
      <c r="I61" s="16" t="s">
        <v>135</v>
      </c>
      <c r="J61" s="16" t="s">
        <v>134</v>
      </c>
      <c r="K61" s="16" t="s">
        <v>135</v>
      </c>
      <c r="L61" s="16" t="s">
        <v>134</v>
      </c>
      <c r="M61" s="16" t="s">
        <v>135</v>
      </c>
      <c r="N61" s="16" t="s">
        <v>134</v>
      </c>
      <c r="O61" s="16" t="s">
        <v>135</v>
      </c>
      <c r="P61" s="16" t="s">
        <v>134</v>
      </c>
      <c r="Q61" s="16" t="s">
        <v>135</v>
      </c>
      <c r="R61" s="16" t="s">
        <v>134</v>
      </c>
      <c r="S61" s="16" t="s">
        <v>135</v>
      </c>
      <c r="T61" s="16" t="s">
        <v>134</v>
      </c>
      <c r="U61" s="16" t="s">
        <v>135</v>
      </c>
      <c r="V61" s="16" t="s">
        <v>134</v>
      </c>
      <c r="W61" s="16" t="s">
        <v>135</v>
      </c>
      <c r="X61" s="16" t="s">
        <v>134</v>
      </c>
      <c r="Y61" s="42" t="s">
        <v>135</v>
      </c>
    </row>
    <row r="62" spans="1:25" ht="54" x14ac:dyDescent="0.6">
      <c r="A62" s="9" t="s">
        <v>99</v>
      </c>
      <c r="B62" s="4">
        <v>286368</v>
      </c>
      <c r="C62" s="4">
        <v>571697</v>
      </c>
      <c r="D62" s="4">
        <v>282641</v>
      </c>
      <c r="E62" s="4">
        <v>568229</v>
      </c>
      <c r="F62" s="4">
        <v>66141</v>
      </c>
      <c r="G62" s="4">
        <v>132007</v>
      </c>
      <c r="H62" s="4">
        <v>108258</v>
      </c>
      <c r="I62" s="4">
        <v>223505</v>
      </c>
      <c r="J62" s="8">
        <v>42</v>
      </c>
      <c r="K62" s="8">
        <v>61</v>
      </c>
      <c r="L62" s="4">
        <v>743450</v>
      </c>
      <c r="M62" s="4">
        <v>1495499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11"/>
    </row>
    <row r="63" spans="1:25" ht="40.5" x14ac:dyDescent="0.6">
      <c r="A63" s="9" t="s">
        <v>100</v>
      </c>
      <c r="B63" s="4">
        <v>133893</v>
      </c>
      <c r="C63" s="4">
        <v>265384</v>
      </c>
      <c r="D63" s="4">
        <v>58941</v>
      </c>
      <c r="E63" s="4">
        <v>113221</v>
      </c>
      <c r="F63" s="4">
        <v>14723</v>
      </c>
      <c r="G63" s="4">
        <v>28510</v>
      </c>
      <c r="H63" s="4">
        <v>2045</v>
      </c>
      <c r="I63" s="4">
        <v>4194</v>
      </c>
      <c r="J63" s="8">
        <v>0</v>
      </c>
      <c r="K63" s="8">
        <v>0</v>
      </c>
      <c r="L63" s="4">
        <v>209602</v>
      </c>
      <c r="M63" s="4">
        <v>411309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11"/>
    </row>
    <row r="64" spans="1:25" ht="27" x14ac:dyDescent="0.6">
      <c r="A64" s="9" t="s">
        <v>101</v>
      </c>
      <c r="B64" s="8">
        <v>294</v>
      </c>
      <c r="C64" s="4">
        <v>33717</v>
      </c>
      <c r="D64" s="4">
        <v>3815</v>
      </c>
      <c r="E64" s="4">
        <v>32280</v>
      </c>
      <c r="F64" s="4">
        <v>-4807</v>
      </c>
      <c r="G64" s="4">
        <v>-4232</v>
      </c>
      <c r="H64" s="4">
        <v>2490</v>
      </c>
      <c r="I64" s="4">
        <v>30709</v>
      </c>
      <c r="J64" s="8">
        <v>0</v>
      </c>
      <c r="K64" s="8">
        <v>0</v>
      </c>
      <c r="L64" s="4">
        <v>1792</v>
      </c>
      <c r="M64" s="4">
        <v>92474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11"/>
    </row>
    <row r="65" spans="1:25" ht="40.5" x14ac:dyDescent="0.6">
      <c r="A65" s="9" t="s">
        <v>102</v>
      </c>
      <c r="B65" s="4">
        <v>1791</v>
      </c>
      <c r="C65" s="4">
        <v>2448</v>
      </c>
      <c r="D65" s="4">
        <v>12364</v>
      </c>
      <c r="E65" s="4">
        <v>34247</v>
      </c>
      <c r="F65" s="4">
        <v>4756</v>
      </c>
      <c r="G65" s="4">
        <v>-5820</v>
      </c>
      <c r="H65" s="8">
        <v>-342</v>
      </c>
      <c r="I65" s="8">
        <v>-698</v>
      </c>
      <c r="J65" s="8">
        <v>0</v>
      </c>
      <c r="K65" s="8">
        <v>0</v>
      </c>
      <c r="L65" s="4">
        <v>18569</v>
      </c>
      <c r="M65" s="4">
        <v>30177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11"/>
    </row>
    <row r="66" spans="1:25" ht="40.5" x14ac:dyDescent="0.6">
      <c r="A66" s="7" t="s">
        <v>103</v>
      </c>
      <c r="B66" s="25">
        <v>422346</v>
      </c>
      <c r="C66" s="25">
        <v>873246</v>
      </c>
      <c r="D66" s="25">
        <v>357761</v>
      </c>
      <c r="E66" s="25">
        <v>747977</v>
      </c>
      <c r="F66" s="25">
        <v>80813</v>
      </c>
      <c r="G66" s="25">
        <v>150465</v>
      </c>
      <c r="H66" s="25">
        <v>112451</v>
      </c>
      <c r="I66" s="25">
        <v>257710</v>
      </c>
      <c r="J66" s="18">
        <v>42</v>
      </c>
      <c r="K66" s="18">
        <v>61</v>
      </c>
      <c r="L66" s="25">
        <v>973413</v>
      </c>
      <c r="M66" s="25">
        <v>2029459</v>
      </c>
      <c r="N66" s="25">
        <v>4611</v>
      </c>
      <c r="O66" s="25">
        <v>12487</v>
      </c>
      <c r="P66" s="18"/>
      <c r="Q66" s="18">
        <v>0</v>
      </c>
      <c r="R66" s="18"/>
      <c r="S66" s="18">
        <v>0</v>
      </c>
      <c r="T66" s="18"/>
      <c r="U66" s="18">
        <v>0</v>
      </c>
      <c r="V66" s="18"/>
      <c r="W66" s="18">
        <v>0</v>
      </c>
      <c r="X66" s="25">
        <v>4611</v>
      </c>
      <c r="Y66" s="26">
        <v>12487</v>
      </c>
    </row>
    <row r="67" spans="1:25" x14ac:dyDescent="0.6">
      <c r="A67" s="20"/>
    </row>
    <row r="68" spans="1:25" ht="27" x14ac:dyDescent="0.6">
      <c r="A68" s="52" t="s">
        <v>104</v>
      </c>
    </row>
    <row r="69" spans="1:25" x14ac:dyDescent="0.6">
      <c r="A69" s="20"/>
    </row>
    <row r="70" spans="1:25" x14ac:dyDescent="0.6">
      <c r="A70" s="34" t="s">
        <v>104</v>
      </c>
      <c r="B70" s="34"/>
    </row>
    <row r="71" spans="1:25" ht="16.899999999999999" customHeight="1" x14ac:dyDescent="0.6">
      <c r="A71" s="20" t="s">
        <v>139</v>
      </c>
      <c r="B71" s="21" t="s">
        <v>37</v>
      </c>
    </row>
    <row r="72" spans="1:25" ht="16.899999999999999" customHeight="1" x14ac:dyDescent="0.6">
      <c r="A72" s="5"/>
      <c r="B72" s="35" t="s">
        <v>80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7"/>
    </row>
    <row r="73" spans="1:25" x14ac:dyDescent="0.6">
      <c r="A73" s="22"/>
      <c r="B73" s="27" t="s">
        <v>38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30"/>
    </row>
    <row r="74" spans="1:25" x14ac:dyDescent="0.6">
      <c r="A74" s="22"/>
      <c r="B74" s="27" t="s">
        <v>84</v>
      </c>
      <c r="C74" s="28"/>
      <c r="D74" s="28"/>
      <c r="E74" s="28"/>
      <c r="F74" s="28"/>
      <c r="G74" s="28"/>
      <c r="H74" s="28"/>
      <c r="I74" s="28"/>
      <c r="J74" s="28"/>
      <c r="K74" s="29"/>
      <c r="L74" s="46" t="s">
        <v>85</v>
      </c>
      <c r="M74" s="50"/>
    </row>
    <row r="75" spans="1:25" x14ac:dyDescent="0.6">
      <c r="A75" s="22"/>
      <c r="B75" s="27" t="s">
        <v>86</v>
      </c>
      <c r="C75" s="29"/>
      <c r="D75" s="27" t="s">
        <v>87</v>
      </c>
      <c r="E75" s="29"/>
      <c r="F75" s="27" t="s">
        <v>88</v>
      </c>
      <c r="G75" s="29"/>
      <c r="H75" s="27" t="s">
        <v>89</v>
      </c>
      <c r="I75" s="29"/>
      <c r="J75" s="27" t="s">
        <v>90</v>
      </c>
      <c r="K75" s="29"/>
      <c r="L75" s="48"/>
      <c r="M75" s="51"/>
    </row>
    <row r="76" spans="1:25" x14ac:dyDescent="0.6">
      <c r="A76" s="22"/>
      <c r="B76" s="16" t="s">
        <v>134</v>
      </c>
      <c r="C76" s="16" t="s">
        <v>135</v>
      </c>
      <c r="D76" s="16" t="s">
        <v>134</v>
      </c>
      <c r="E76" s="16" t="s">
        <v>135</v>
      </c>
      <c r="F76" s="16" t="s">
        <v>134</v>
      </c>
      <c r="G76" s="16" t="s">
        <v>135</v>
      </c>
      <c r="H76" s="16" t="s">
        <v>134</v>
      </c>
      <c r="I76" s="16" t="s">
        <v>135</v>
      </c>
      <c r="J76" s="16" t="s">
        <v>134</v>
      </c>
      <c r="K76" s="16" t="s">
        <v>135</v>
      </c>
      <c r="L76" s="16" t="s">
        <v>134</v>
      </c>
      <c r="M76" s="42" t="s">
        <v>135</v>
      </c>
    </row>
    <row r="77" spans="1:25" x14ac:dyDescent="0.6">
      <c r="A77" s="9" t="s">
        <v>98</v>
      </c>
      <c r="B77" s="4">
        <v>510805</v>
      </c>
      <c r="C77" s="4">
        <v>1018910</v>
      </c>
      <c r="D77" s="4">
        <v>518139</v>
      </c>
      <c r="E77" s="4">
        <v>1017028</v>
      </c>
      <c r="F77" s="4">
        <v>143479</v>
      </c>
      <c r="G77" s="4">
        <v>280566</v>
      </c>
      <c r="H77" s="4">
        <v>109061</v>
      </c>
      <c r="I77" s="4">
        <v>219157</v>
      </c>
      <c r="J77" s="8">
        <v>0</v>
      </c>
      <c r="K77" s="8">
        <v>0</v>
      </c>
      <c r="L77" s="4">
        <v>1281484</v>
      </c>
      <c r="M77" s="10">
        <v>2535661</v>
      </c>
    </row>
    <row r="78" spans="1:25" ht="40.5" x14ac:dyDescent="0.6">
      <c r="A78" s="9" t="s">
        <v>103</v>
      </c>
      <c r="B78" s="4">
        <v>441388</v>
      </c>
      <c r="C78" s="4">
        <v>869257</v>
      </c>
      <c r="D78" s="4">
        <v>516038</v>
      </c>
      <c r="E78" s="4">
        <v>958474</v>
      </c>
      <c r="F78" s="4">
        <v>79599</v>
      </c>
      <c r="G78" s="4">
        <v>181499</v>
      </c>
      <c r="H78" s="4">
        <v>138267</v>
      </c>
      <c r="I78" s="4">
        <v>283423</v>
      </c>
      <c r="J78" s="8">
        <v>64</v>
      </c>
      <c r="K78" s="8">
        <v>134</v>
      </c>
      <c r="L78" s="4">
        <v>1175356</v>
      </c>
      <c r="M78" s="10">
        <v>2292787</v>
      </c>
    </row>
    <row r="79" spans="1:25" x14ac:dyDescent="0.6">
      <c r="A79" s="7" t="s">
        <v>35</v>
      </c>
      <c r="B79" s="25">
        <v>69417</v>
      </c>
      <c r="C79" s="25">
        <v>149653</v>
      </c>
      <c r="D79" s="25">
        <v>2101</v>
      </c>
      <c r="E79" s="25">
        <v>58554</v>
      </c>
      <c r="F79" s="25">
        <v>63880</v>
      </c>
      <c r="G79" s="25">
        <v>99067</v>
      </c>
      <c r="H79" s="25">
        <v>-29206</v>
      </c>
      <c r="I79" s="25">
        <v>-64266</v>
      </c>
      <c r="J79" s="18">
        <v>-64</v>
      </c>
      <c r="K79" s="18">
        <v>-134</v>
      </c>
      <c r="L79" s="25">
        <v>106128</v>
      </c>
      <c r="M79" s="26">
        <v>242874</v>
      </c>
    </row>
    <row r="80" spans="1:25" x14ac:dyDescent="0.6">
      <c r="A80" s="20"/>
    </row>
    <row r="81" spans="1:17" x14ac:dyDescent="0.6">
      <c r="A81" s="20" t="s">
        <v>140</v>
      </c>
      <c r="B81" s="21" t="s">
        <v>37</v>
      </c>
    </row>
    <row r="82" spans="1:17" ht="16.899999999999999" customHeight="1" x14ac:dyDescent="0.6">
      <c r="A82" s="5"/>
      <c r="B82" s="35" t="s">
        <v>80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7"/>
    </row>
    <row r="83" spans="1:17" x14ac:dyDescent="0.6">
      <c r="A83" s="22"/>
      <c r="B83" s="27" t="s">
        <v>38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30"/>
    </row>
    <row r="84" spans="1:17" x14ac:dyDescent="0.6">
      <c r="A84" s="22"/>
      <c r="B84" s="27" t="s">
        <v>84</v>
      </c>
      <c r="C84" s="28"/>
      <c r="D84" s="28"/>
      <c r="E84" s="28"/>
      <c r="F84" s="28"/>
      <c r="G84" s="28"/>
      <c r="H84" s="28"/>
      <c r="I84" s="28"/>
      <c r="J84" s="28"/>
      <c r="K84" s="29"/>
      <c r="L84" s="46" t="s">
        <v>85</v>
      </c>
      <c r="M84" s="50"/>
    </row>
    <row r="85" spans="1:17" x14ac:dyDescent="0.6">
      <c r="A85" s="22"/>
      <c r="B85" s="27" t="s">
        <v>86</v>
      </c>
      <c r="C85" s="29"/>
      <c r="D85" s="27" t="s">
        <v>87</v>
      </c>
      <c r="E85" s="29"/>
      <c r="F85" s="27" t="s">
        <v>88</v>
      </c>
      <c r="G85" s="29"/>
      <c r="H85" s="27" t="s">
        <v>89</v>
      </c>
      <c r="I85" s="29"/>
      <c r="J85" s="27" t="s">
        <v>90</v>
      </c>
      <c r="K85" s="29"/>
      <c r="L85" s="48"/>
      <c r="M85" s="51"/>
    </row>
    <row r="86" spans="1:17" ht="16.899999999999999" customHeight="1" x14ac:dyDescent="0.6">
      <c r="A86" s="22"/>
      <c r="B86" s="16" t="s">
        <v>134</v>
      </c>
      <c r="C86" s="16" t="s">
        <v>135</v>
      </c>
      <c r="D86" s="16" t="s">
        <v>134</v>
      </c>
      <c r="E86" s="16" t="s">
        <v>135</v>
      </c>
      <c r="F86" s="16" t="s">
        <v>134</v>
      </c>
      <c r="G86" s="16" t="s">
        <v>135</v>
      </c>
      <c r="H86" s="16" t="s">
        <v>134</v>
      </c>
      <c r="I86" s="16" t="s">
        <v>135</v>
      </c>
      <c r="J86" s="16" t="s">
        <v>134</v>
      </c>
      <c r="K86" s="16" t="s">
        <v>135</v>
      </c>
      <c r="L86" s="16" t="s">
        <v>134</v>
      </c>
      <c r="M86" s="42" t="s">
        <v>135</v>
      </c>
    </row>
    <row r="87" spans="1:17" x14ac:dyDescent="0.6">
      <c r="A87" s="9" t="s">
        <v>98</v>
      </c>
      <c r="B87" s="4">
        <v>516357</v>
      </c>
      <c r="C87" s="4">
        <v>1040922</v>
      </c>
      <c r="D87" s="4">
        <v>446990</v>
      </c>
      <c r="E87" s="4">
        <v>887958</v>
      </c>
      <c r="F87" s="4">
        <v>113116</v>
      </c>
      <c r="G87" s="4">
        <v>214990</v>
      </c>
      <c r="H87" s="4">
        <v>125799</v>
      </c>
      <c r="I87" s="4">
        <v>254945</v>
      </c>
      <c r="J87" s="8">
        <v>0</v>
      </c>
      <c r="K87" s="8">
        <v>0</v>
      </c>
      <c r="L87" s="4">
        <v>1202262</v>
      </c>
      <c r="M87" s="10">
        <v>2398815</v>
      </c>
    </row>
    <row r="88" spans="1:17" ht="40.5" x14ac:dyDescent="0.6">
      <c r="A88" s="9" t="s">
        <v>103</v>
      </c>
      <c r="B88" s="4">
        <v>426957</v>
      </c>
      <c r="C88" s="4">
        <v>885733</v>
      </c>
      <c r="D88" s="4">
        <v>357761</v>
      </c>
      <c r="E88" s="4">
        <v>747977</v>
      </c>
      <c r="F88" s="4">
        <v>80813</v>
      </c>
      <c r="G88" s="4">
        <v>150465</v>
      </c>
      <c r="H88" s="4">
        <v>112451</v>
      </c>
      <c r="I88" s="4">
        <v>257710</v>
      </c>
      <c r="J88" s="8">
        <v>42</v>
      </c>
      <c r="K88" s="8">
        <v>61</v>
      </c>
      <c r="L88" s="4">
        <v>978024</v>
      </c>
      <c r="M88" s="10">
        <v>2041946</v>
      </c>
    </row>
    <row r="89" spans="1:17" x14ac:dyDescent="0.6">
      <c r="A89" s="7" t="s">
        <v>35</v>
      </c>
      <c r="B89" s="25">
        <v>89400</v>
      </c>
      <c r="C89" s="25">
        <v>155189</v>
      </c>
      <c r="D89" s="25">
        <v>89229</v>
      </c>
      <c r="E89" s="25">
        <v>139981</v>
      </c>
      <c r="F89" s="25">
        <v>32303</v>
      </c>
      <c r="G89" s="25">
        <v>64525</v>
      </c>
      <c r="H89" s="25">
        <v>13348</v>
      </c>
      <c r="I89" s="25">
        <v>-2765</v>
      </c>
      <c r="J89" s="18">
        <v>-42</v>
      </c>
      <c r="K89" s="18">
        <v>-61</v>
      </c>
      <c r="L89" s="25">
        <v>224238</v>
      </c>
      <c r="M89" s="26">
        <v>356869</v>
      </c>
    </row>
    <row r="90" spans="1:17" x14ac:dyDescent="0.6">
      <c r="A90" s="20"/>
    </row>
    <row r="91" spans="1:17" x14ac:dyDescent="0.6">
      <c r="A91" s="20"/>
    </row>
    <row r="92" spans="1:17" x14ac:dyDescent="0.6">
      <c r="A92" s="14" t="s">
        <v>141</v>
      </c>
    </row>
    <row r="93" spans="1:17" x14ac:dyDescent="0.6">
      <c r="A93" s="20"/>
    </row>
    <row r="94" spans="1:17" x14ac:dyDescent="0.6">
      <c r="A94" s="34" t="s">
        <v>105</v>
      </c>
      <c r="B94" s="34"/>
    </row>
    <row r="95" spans="1:17" x14ac:dyDescent="0.6">
      <c r="A95" s="20" t="s">
        <v>139</v>
      </c>
      <c r="B95" s="21" t="s">
        <v>37</v>
      </c>
    </row>
    <row r="96" spans="1:17" x14ac:dyDescent="0.6">
      <c r="A96" s="5"/>
      <c r="B96" s="35" t="s">
        <v>80</v>
      </c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7"/>
    </row>
    <row r="97" spans="1:17" x14ac:dyDescent="0.6">
      <c r="A97" s="22"/>
      <c r="B97" s="27" t="s">
        <v>40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30"/>
    </row>
    <row r="98" spans="1:17" x14ac:dyDescent="0.6">
      <c r="A98" s="22"/>
      <c r="B98" s="27" t="s">
        <v>81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30"/>
    </row>
    <row r="99" spans="1:17" x14ac:dyDescent="0.6">
      <c r="A99" s="22"/>
      <c r="B99" s="27" t="s">
        <v>82</v>
      </c>
      <c r="C99" s="28"/>
      <c r="D99" s="28"/>
      <c r="E99" s="28"/>
      <c r="F99" s="28"/>
      <c r="G99" s="28"/>
      <c r="H99" s="28"/>
      <c r="I99" s="29"/>
      <c r="J99" s="27" t="s">
        <v>83</v>
      </c>
      <c r="K99" s="28"/>
      <c r="L99" s="28"/>
      <c r="M99" s="28"/>
      <c r="N99" s="28"/>
      <c r="O99" s="28"/>
      <c r="P99" s="28"/>
      <c r="Q99" s="30"/>
    </row>
    <row r="100" spans="1:17" x14ac:dyDescent="0.6">
      <c r="A100" s="22"/>
      <c r="B100" s="27" t="s">
        <v>84</v>
      </c>
      <c r="C100" s="28"/>
      <c r="D100" s="28"/>
      <c r="E100" s="28"/>
      <c r="F100" s="28"/>
      <c r="G100" s="29"/>
      <c r="H100" s="46" t="s">
        <v>85</v>
      </c>
      <c r="I100" s="47"/>
      <c r="J100" s="27" t="s">
        <v>84</v>
      </c>
      <c r="K100" s="28"/>
      <c r="L100" s="28"/>
      <c r="M100" s="28"/>
      <c r="N100" s="28"/>
      <c r="O100" s="29"/>
      <c r="P100" s="46" t="s">
        <v>85</v>
      </c>
      <c r="Q100" s="50"/>
    </row>
    <row r="101" spans="1:17" x14ac:dyDescent="0.6">
      <c r="A101" s="22"/>
      <c r="B101" s="27" t="s">
        <v>86</v>
      </c>
      <c r="C101" s="29"/>
      <c r="D101" s="27" t="s">
        <v>87</v>
      </c>
      <c r="E101" s="29"/>
      <c r="F101" s="27" t="s">
        <v>90</v>
      </c>
      <c r="G101" s="29"/>
      <c r="H101" s="48"/>
      <c r="I101" s="49"/>
      <c r="J101" s="27" t="s">
        <v>86</v>
      </c>
      <c r="K101" s="29"/>
      <c r="L101" s="27" t="s">
        <v>87</v>
      </c>
      <c r="M101" s="29"/>
      <c r="N101" s="27" t="s">
        <v>90</v>
      </c>
      <c r="O101" s="29"/>
      <c r="P101" s="48"/>
      <c r="Q101" s="51"/>
    </row>
    <row r="102" spans="1:17" x14ac:dyDescent="0.6">
      <c r="A102" s="22"/>
      <c r="B102" s="16" t="s">
        <v>134</v>
      </c>
      <c r="C102" s="16" t="s">
        <v>135</v>
      </c>
      <c r="D102" s="16" t="s">
        <v>134</v>
      </c>
      <c r="E102" s="16" t="s">
        <v>135</v>
      </c>
      <c r="F102" s="16" t="s">
        <v>134</v>
      </c>
      <c r="G102" s="16" t="s">
        <v>135</v>
      </c>
      <c r="H102" s="16" t="s">
        <v>134</v>
      </c>
      <c r="I102" s="16" t="s">
        <v>135</v>
      </c>
      <c r="J102" s="16" t="s">
        <v>134</v>
      </c>
      <c r="K102" s="16" t="s">
        <v>135</v>
      </c>
      <c r="L102" s="16" t="s">
        <v>134</v>
      </c>
      <c r="M102" s="16" t="s">
        <v>135</v>
      </c>
      <c r="N102" s="16" t="s">
        <v>134</v>
      </c>
      <c r="O102" s="16" t="s">
        <v>135</v>
      </c>
      <c r="P102" s="16" t="s">
        <v>134</v>
      </c>
      <c r="Q102" s="42" t="s">
        <v>135</v>
      </c>
    </row>
    <row r="103" spans="1:17" ht="40.5" x14ac:dyDescent="0.6">
      <c r="A103" s="9" t="s">
        <v>106</v>
      </c>
      <c r="B103" s="4">
        <v>-1693</v>
      </c>
      <c r="C103" s="4">
        <v>1244</v>
      </c>
      <c r="D103" s="4">
        <v>8143</v>
      </c>
      <c r="E103" s="4">
        <v>32198</v>
      </c>
      <c r="F103" s="8">
        <v>0</v>
      </c>
      <c r="G103" s="8">
        <v>0</v>
      </c>
      <c r="H103" s="4">
        <v>6450</v>
      </c>
      <c r="I103" s="4">
        <v>33442</v>
      </c>
      <c r="J103" s="8"/>
      <c r="K103" s="8"/>
      <c r="L103" s="8"/>
      <c r="M103" s="8"/>
      <c r="N103" s="8"/>
      <c r="O103" s="8"/>
      <c r="P103" s="8"/>
      <c r="Q103" s="11"/>
    </row>
    <row r="104" spans="1:17" ht="27" x14ac:dyDescent="0.6">
      <c r="A104" s="9" t="s">
        <v>107</v>
      </c>
      <c r="B104" s="8">
        <v>-231</v>
      </c>
      <c r="C104" s="8">
        <v>-325</v>
      </c>
      <c r="D104" s="4">
        <v>-2573</v>
      </c>
      <c r="E104" s="4">
        <v>-5791</v>
      </c>
      <c r="F104" s="8">
        <v>0</v>
      </c>
      <c r="G104" s="8">
        <v>0</v>
      </c>
      <c r="H104" s="4">
        <v>-2804</v>
      </c>
      <c r="I104" s="4">
        <v>-6116</v>
      </c>
      <c r="J104" s="8"/>
      <c r="K104" s="8"/>
      <c r="L104" s="8"/>
      <c r="M104" s="8"/>
      <c r="N104" s="8"/>
      <c r="O104" s="8"/>
      <c r="P104" s="8"/>
      <c r="Q104" s="11"/>
    </row>
    <row r="105" spans="1:17" ht="40.5" x14ac:dyDescent="0.6">
      <c r="A105" s="9" t="s">
        <v>108</v>
      </c>
      <c r="B105" s="8">
        <v>45</v>
      </c>
      <c r="C105" s="8">
        <v>57</v>
      </c>
      <c r="D105" s="8">
        <v>185</v>
      </c>
      <c r="E105" s="8">
        <v>251</v>
      </c>
      <c r="F105" s="8">
        <v>0</v>
      </c>
      <c r="G105" s="8">
        <v>0</v>
      </c>
      <c r="H105" s="8">
        <v>230</v>
      </c>
      <c r="I105" s="8">
        <v>308</v>
      </c>
      <c r="J105" s="8"/>
      <c r="K105" s="8"/>
      <c r="L105" s="8"/>
      <c r="M105" s="8"/>
      <c r="N105" s="8"/>
      <c r="O105" s="8"/>
      <c r="P105" s="8"/>
      <c r="Q105" s="11"/>
    </row>
    <row r="106" spans="1:17" ht="40.5" x14ac:dyDescent="0.6">
      <c r="A106" s="7" t="s">
        <v>109</v>
      </c>
      <c r="B106" s="25">
        <v>-1879</v>
      </c>
      <c r="C106" s="18">
        <v>976</v>
      </c>
      <c r="D106" s="25">
        <v>5755</v>
      </c>
      <c r="E106" s="25">
        <v>26658</v>
      </c>
      <c r="F106" s="18">
        <v>0</v>
      </c>
      <c r="G106" s="18">
        <v>0</v>
      </c>
      <c r="H106" s="25">
        <v>3876</v>
      </c>
      <c r="I106" s="25">
        <v>27634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9">
        <v>0</v>
      </c>
    </row>
    <row r="107" spans="1:17" x14ac:dyDescent="0.6">
      <c r="A107" s="20"/>
    </row>
    <row r="108" spans="1:17" x14ac:dyDescent="0.6">
      <c r="A108" s="20" t="s">
        <v>140</v>
      </c>
      <c r="B108" s="21" t="s">
        <v>37</v>
      </c>
    </row>
    <row r="109" spans="1:17" x14ac:dyDescent="0.6">
      <c r="A109" s="5"/>
      <c r="B109" s="35" t="s">
        <v>80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7"/>
    </row>
    <row r="110" spans="1:17" x14ac:dyDescent="0.6">
      <c r="A110" s="22"/>
      <c r="B110" s="27" t="s">
        <v>40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30"/>
    </row>
    <row r="111" spans="1:17" x14ac:dyDescent="0.6">
      <c r="A111" s="22"/>
      <c r="B111" s="27" t="s">
        <v>81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30"/>
    </row>
    <row r="112" spans="1:17" x14ac:dyDescent="0.6">
      <c r="A112" s="22"/>
      <c r="B112" s="27" t="s">
        <v>82</v>
      </c>
      <c r="C112" s="28"/>
      <c r="D112" s="28"/>
      <c r="E112" s="28"/>
      <c r="F112" s="28"/>
      <c r="G112" s="28"/>
      <c r="H112" s="28"/>
      <c r="I112" s="29"/>
      <c r="J112" s="27" t="s">
        <v>83</v>
      </c>
      <c r="K112" s="28"/>
      <c r="L112" s="28"/>
      <c r="M112" s="28"/>
      <c r="N112" s="28"/>
      <c r="O112" s="28"/>
      <c r="P112" s="28"/>
      <c r="Q112" s="30"/>
    </row>
    <row r="113" spans="1:17" x14ac:dyDescent="0.6">
      <c r="A113" s="22"/>
      <c r="B113" s="27" t="s">
        <v>84</v>
      </c>
      <c r="C113" s="28"/>
      <c r="D113" s="28"/>
      <c r="E113" s="28"/>
      <c r="F113" s="28"/>
      <c r="G113" s="29"/>
      <c r="H113" s="46" t="s">
        <v>85</v>
      </c>
      <c r="I113" s="47"/>
      <c r="J113" s="27" t="s">
        <v>84</v>
      </c>
      <c r="K113" s="28"/>
      <c r="L113" s="28"/>
      <c r="M113" s="28"/>
      <c r="N113" s="28"/>
      <c r="O113" s="29"/>
      <c r="P113" s="46" t="s">
        <v>85</v>
      </c>
      <c r="Q113" s="50"/>
    </row>
    <row r="114" spans="1:17" x14ac:dyDescent="0.6">
      <c r="A114" s="22"/>
      <c r="B114" s="27" t="s">
        <v>86</v>
      </c>
      <c r="C114" s="29"/>
      <c r="D114" s="27" t="s">
        <v>87</v>
      </c>
      <c r="E114" s="29"/>
      <c r="F114" s="27" t="s">
        <v>90</v>
      </c>
      <c r="G114" s="29"/>
      <c r="H114" s="48"/>
      <c r="I114" s="49"/>
      <c r="J114" s="27" t="s">
        <v>86</v>
      </c>
      <c r="K114" s="29"/>
      <c r="L114" s="27" t="s">
        <v>87</v>
      </c>
      <c r="M114" s="29"/>
      <c r="N114" s="27" t="s">
        <v>90</v>
      </c>
      <c r="O114" s="29"/>
      <c r="P114" s="48"/>
      <c r="Q114" s="51"/>
    </row>
    <row r="115" spans="1:17" x14ac:dyDescent="0.6">
      <c r="A115" s="22"/>
      <c r="B115" s="16" t="s">
        <v>134</v>
      </c>
      <c r="C115" s="16" t="s">
        <v>135</v>
      </c>
      <c r="D115" s="16" t="s">
        <v>134</v>
      </c>
      <c r="E115" s="16" t="s">
        <v>135</v>
      </c>
      <c r="F115" s="16" t="s">
        <v>134</v>
      </c>
      <c r="G115" s="16" t="s">
        <v>135</v>
      </c>
      <c r="H115" s="16" t="s">
        <v>134</v>
      </c>
      <c r="I115" s="16" t="s">
        <v>135</v>
      </c>
      <c r="J115" s="16" t="s">
        <v>134</v>
      </c>
      <c r="K115" s="16" t="s">
        <v>135</v>
      </c>
      <c r="L115" s="16" t="s">
        <v>134</v>
      </c>
      <c r="M115" s="16" t="s">
        <v>135</v>
      </c>
      <c r="N115" s="16" t="s">
        <v>134</v>
      </c>
      <c r="O115" s="16" t="s">
        <v>135</v>
      </c>
      <c r="P115" s="16" t="s">
        <v>134</v>
      </c>
      <c r="Q115" s="42" t="s">
        <v>135</v>
      </c>
    </row>
    <row r="116" spans="1:17" ht="40.5" x14ac:dyDescent="0.6">
      <c r="A116" s="9" t="s">
        <v>106</v>
      </c>
      <c r="B116" s="4">
        <v>5759</v>
      </c>
      <c r="C116" s="4">
        <v>10888</v>
      </c>
      <c r="D116" s="4">
        <v>53547</v>
      </c>
      <c r="E116" s="4">
        <v>118330</v>
      </c>
      <c r="F116" s="8">
        <v>0</v>
      </c>
      <c r="G116" s="8">
        <v>0</v>
      </c>
      <c r="H116" s="4">
        <v>59306</v>
      </c>
      <c r="I116" s="4">
        <v>129218</v>
      </c>
      <c r="J116" s="8"/>
      <c r="K116" s="8"/>
      <c r="L116" s="8"/>
      <c r="M116" s="8"/>
      <c r="N116" s="8"/>
      <c r="O116" s="8"/>
      <c r="P116" s="8"/>
      <c r="Q116" s="11"/>
    </row>
    <row r="117" spans="1:17" ht="27" x14ac:dyDescent="0.6">
      <c r="A117" s="9" t="s">
        <v>107</v>
      </c>
      <c r="B117" s="8">
        <v>-77</v>
      </c>
      <c r="C117" s="8">
        <v>-368</v>
      </c>
      <c r="D117" s="4">
        <v>-1527</v>
      </c>
      <c r="E117" s="4">
        <v>-4074</v>
      </c>
      <c r="F117" s="8">
        <v>0</v>
      </c>
      <c r="G117" s="8">
        <v>0</v>
      </c>
      <c r="H117" s="4">
        <v>-1604</v>
      </c>
      <c r="I117" s="4">
        <v>-4442</v>
      </c>
      <c r="J117" s="8"/>
      <c r="K117" s="8"/>
      <c r="L117" s="8"/>
      <c r="M117" s="8"/>
      <c r="N117" s="8"/>
      <c r="O117" s="8"/>
      <c r="P117" s="8"/>
      <c r="Q117" s="11"/>
    </row>
    <row r="118" spans="1:17" ht="40.5" x14ac:dyDescent="0.6">
      <c r="A118" s="9" t="s">
        <v>108</v>
      </c>
      <c r="B118" s="8">
        <v>14</v>
      </c>
      <c r="C118" s="8">
        <v>15</v>
      </c>
      <c r="D118" s="8">
        <v>185</v>
      </c>
      <c r="E118" s="8">
        <v>216</v>
      </c>
      <c r="F118" s="8">
        <v>0</v>
      </c>
      <c r="G118" s="8">
        <v>0</v>
      </c>
      <c r="H118" s="8">
        <v>199</v>
      </c>
      <c r="I118" s="8">
        <v>231</v>
      </c>
      <c r="J118" s="8"/>
      <c r="K118" s="8"/>
      <c r="L118" s="8"/>
      <c r="M118" s="8"/>
      <c r="N118" s="8"/>
      <c r="O118" s="8"/>
      <c r="P118" s="8"/>
      <c r="Q118" s="11"/>
    </row>
    <row r="119" spans="1:17" ht="40.5" x14ac:dyDescent="0.6">
      <c r="A119" s="7" t="s">
        <v>109</v>
      </c>
      <c r="B119" s="25">
        <v>5696</v>
      </c>
      <c r="C119" s="25">
        <v>10535</v>
      </c>
      <c r="D119" s="25">
        <v>52205</v>
      </c>
      <c r="E119" s="25">
        <v>114472</v>
      </c>
      <c r="F119" s="18">
        <v>0</v>
      </c>
      <c r="G119" s="18">
        <v>0</v>
      </c>
      <c r="H119" s="25">
        <v>57901</v>
      </c>
      <c r="I119" s="25">
        <v>125007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9">
        <v>0</v>
      </c>
    </row>
    <row r="120" spans="1:17" x14ac:dyDescent="0.6">
      <c r="A120" s="20"/>
    </row>
    <row r="121" spans="1:17" x14ac:dyDescent="0.6">
      <c r="A121" s="34" t="s">
        <v>41</v>
      </c>
      <c r="B121" s="34"/>
    </row>
    <row r="122" spans="1:17" x14ac:dyDescent="0.6">
      <c r="A122" s="20" t="s">
        <v>139</v>
      </c>
      <c r="B122" s="21" t="s">
        <v>37</v>
      </c>
    </row>
    <row r="123" spans="1:17" x14ac:dyDescent="0.6">
      <c r="A123" s="5"/>
      <c r="B123" s="35" t="s">
        <v>80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7"/>
    </row>
    <row r="124" spans="1:17" x14ac:dyDescent="0.6">
      <c r="A124" s="22"/>
      <c r="B124" s="27" t="s">
        <v>40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30"/>
    </row>
    <row r="125" spans="1:17" x14ac:dyDescent="0.6">
      <c r="A125" s="22"/>
      <c r="B125" s="27" t="s">
        <v>81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30"/>
    </row>
    <row r="126" spans="1:17" x14ac:dyDescent="0.6">
      <c r="A126" s="22"/>
      <c r="B126" s="27" t="s">
        <v>82</v>
      </c>
      <c r="C126" s="28"/>
      <c r="D126" s="28"/>
      <c r="E126" s="28"/>
      <c r="F126" s="28"/>
      <c r="G126" s="28"/>
      <c r="H126" s="28"/>
      <c r="I126" s="29"/>
      <c r="J126" s="27" t="s">
        <v>83</v>
      </c>
      <c r="K126" s="28"/>
      <c r="L126" s="28"/>
      <c r="M126" s="28"/>
      <c r="N126" s="28"/>
      <c r="O126" s="28"/>
      <c r="P126" s="28"/>
      <c r="Q126" s="30"/>
    </row>
    <row r="127" spans="1:17" x14ac:dyDescent="0.6">
      <c r="A127" s="22"/>
      <c r="B127" s="27" t="s">
        <v>84</v>
      </c>
      <c r="C127" s="28"/>
      <c r="D127" s="28"/>
      <c r="E127" s="28"/>
      <c r="F127" s="28"/>
      <c r="G127" s="29"/>
      <c r="H127" s="46" t="s">
        <v>85</v>
      </c>
      <c r="I127" s="47"/>
      <c r="J127" s="27" t="s">
        <v>84</v>
      </c>
      <c r="K127" s="28"/>
      <c r="L127" s="28"/>
      <c r="M127" s="28"/>
      <c r="N127" s="28"/>
      <c r="O127" s="29"/>
      <c r="P127" s="46" t="s">
        <v>85</v>
      </c>
      <c r="Q127" s="50"/>
    </row>
    <row r="128" spans="1:17" x14ac:dyDescent="0.6">
      <c r="A128" s="22"/>
      <c r="B128" s="27" t="s">
        <v>86</v>
      </c>
      <c r="C128" s="29"/>
      <c r="D128" s="27" t="s">
        <v>87</v>
      </c>
      <c r="E128" s="29"/>
      <c r="F128" s="27" t="s">
        <v>90</v>
      </c>
      <c r="G128" s="29"/>
      <c r="H128" s="48"/>
      <c r="I128" s="49"/>
      <c r="J128" s="27" t="s">
        <v>86</v>
      </c>
      <c r="K128" s="29"/>
      <c r="L128" s="27" t="s">
        <v>87</v>
      </c>
      <c r="M128" s="29"/>
      <c r="N128" s="27" t="s">
        <v>90</v>
      </c>
      <c r="O128" s="29"/>
      <c r="P128" s="48"/>
      <c r="Q128" s="51"/>
    </row>
    <row r="129" spans="1:17" x14ac:dyDescent="0.6">
      <c r="A129" s="22"/>
      <c r="B129" s="16" t="s">
        <v>134</v>
      </c>
      <c r="C129" s="16" t="s">
        <v>135</v>
      </c>
      <c r="D129" s="16" t="s">
        <v>134</v>
      </c>
      <c r="E129" s="16" t="s">
        <v>135</v>
      </c>
      <c r="F129" s="16" t="s">
        <v>134</v>
      </c>
      <c r="G129" s="16" t="s">
        <v>135</v>
      </c>
      <c r="H129" s="16" t="s">
        <v>134</v>
      </c>
      <c r="I129" s="16" t="s">
        <v>135</v>
      </c>
      <c r="J129" s="16" t="s">
        <v>134</v>
      </c>
      <c r="K129" s="16" t="s">
        <v>135</v>
      </c>
      <c r="L129" s="16" t="s">
        <v>134</v>
      </c>
      <c r="M129" s="16" t="s">
        <v>135</v>
      </c>
      <c r="N129" s="16" t="s">
        <v>134</v>
      </c>
      <c r="O129" s="16" t="s">
        <v>135</v>
      </c>
      <c r="P129" s="16" t="s">
        <v>134</v>
      </c>
      <c r="Q129" s="42" t="s">
        <v>135</v>
      </c>
    </row>
    <row r="130" spans="1:17" ht="54" x14ac:dyDescent="0.6">
      <c r="A130" s="9" t="s">
        <v>110</v>
      </c>
      <c r="B130" s="4">
        <v>-1521</v>
      </c>
      <c r="C130" s="4">
        <v>1663</v>
      </c>
      <c r="D130" s="8">
        <v>-112</v>
      </c>
      <c r="E130" s="4">
        <v>16748</v>
      </c>
      <c r="F130" s="8">
        <v>0</v>
      </c>
      <c r="G130" s="8">
        <v>0</v>
      </c>
      <c r="H130" s="4">
        <v>-1633</v>
      </c>
      <c r="I130" s="4">
        <v>18411</v>
      </c>
      <c r="J130" s="8"/>
      <c r="K130" s="8"/>
      <c r="L130" s="8"/>
      <c r="M130" s="8"/>
      <c r="N130" s="8"/>
      <c r="O130" s="8"/>
      <c r="P130" s="8"/>
      <c r="Q130" s="11"/>
    </row>
    <row r="131" spans="1:17" ht="40.5" x14ac:dyDescent="0.6">
      <c r="A131" s="9" t="s">
        <v>111</v>
      </c>
      <c r="B131" s="8">
        <v>13</v>
      </c>
      <c r="C131" s="8">
        <v>23</v>
      </c>
      <c r="D131" s="8">
        <v>274</v>
      </c>
      <c r="E131" s="8">
        <v>536</v>
      </c>
      <c r="F131" s="8">
        <v>0</v>
      </c>
      <c r="G131" s="8">
        <v>0</v>
      </c>
      <c r="H131" s="8">
        <v>287</v>
      </c>
      <c r="I131" s="8">
        <v>559</v>
      </c>
      <c r="J131" s="8"/>
      <c r="K131" s="8"/>
      <c r="L131" s="8"/>
      <c r="M131" s="8"/>
      <c r="N131" s="8"/>
      <c r="O131" s="8"/>
      <c r="P131" s="8"/>
      <c r="Q131" s="11"/>
    </row>
    <row r="132" spans="1:17" ht="40.5" x14ac:dyDescent="0.6">
      <c r="A132" s="9" t="s">
        <v>112</v>
      </c>
      <c r="B132" s="4">
        <v>1931</v>
      </c>
      <c r="C132" s="4">
        <v>4097</v>
      </c>
      <c r="D132" s="4">
        <v>5286</v>
      </c>
      <c r="E132" s="4">
        <v>10207</v>
      </c>
      <c r="F132" s="8">
        <v>0</v>
      </c>
      <c r="G132" s="8">
        <v>0</v>
      </c>
      <c r="H132" s="4">
        <v>7217</v>
      </c>
      <c r="I132" s="4">
        <v>14304</v>
      </c>
      <c r="J132" s="8"/>
      <c r="K132" s="8"/>
      <c r="L132" s="8"/>
      <c r="M132" s="8"/>
      <c r="N132" s="8"/>
      <c r="O132" s="8"/>
      <c r="P132" s="8"/>
      <c r="Q132" s="11"/>
    </row>
    <row r="133" spans="1:17" ht="40.5" x14ac:dyDescent="0.6">
      <c r="A133" s="9" t="s">
        <v>113</v>
      </c>
      <c r="B133" s="8">
        <v>-477</v>
      </c>
      <c r="C133" s="4">
        <v>-1307</v>
      </c>
      <c r="D133" s="8">
        <v>663</v>
      </c>
      <c r="E133" s="4">
        <v>2672</v>
      </c>
      <c r="F133" s="8">
        <v>0</v>
      </c>
      <c r="G133" s="8">
        <v>0</v>
      </c>
      <c r="H133" s="8">
        <v>186</v>
      </c>
      <c r="I133" s="4">
        <v>1365</v>
      </c>
      <c r="J133" s="8"/>
      <c r="K133" s="8"/>
      <c r="L133" s="8"/>
      <c r="M133" s="8"/>
      <c r="N133" s="8"/>
      <c r="O133" s="8"/>
      <c r="P133" s="8"/>
      <c r="Q133" s="11"/>
    </row>
    <row r="134" spans="1:17" ht="40.5" x14ac:dyDescent="0.6">
      <c r="A134" s="7" t="s">
        <v>114</v>
      </c>
      <c r="B134" s="18">
        <v>-54</v>
      </c>
      <c r="C134" s="25">
        <v>4476</v>
      </c>
      <c r="D134" s="25">
        <v>6111</v>
      </c>
      <c r="E134" s="25">
        <v>30163</v>
      </c>
      <c r="F134" s="18">
        <v>0</v>
      </c>
      <c r="G134" s="18">
        <v>0</v>
      </c>
      <c r="H134" s="25">
        <v>6057</v>
      </c>
      <c r="I134" s="25">
        <v>34639</v>
      </c>
      <c r="J134" s="18">
        <v>0</v>
      </c>
      <c r="K134" s="18">
        <v>0</v>
      </c>
      <c r="L134" s="18">
        <v>0</v>
      </c>
      <c r="M134" s="18">
        <v>0</v>
      </c>
      <c r="N134" s="18">
        <v>5</v>
      </c>
      <c r="O134" s="18">
        <v>10</v>
      </c>
      <c r="P134" s="18">
        <v>5</v>
      </c>
      <c r="Q134" s="19">
        <v>10</v>
      </c>
    </row>
    <row r="135" spans="1:17" x14ac:dyDescent="0.6">
      <c r="A135" s="20"/>
    </row>
    <row r="136" spans="1:17" x14ac:dyDescent="0.6">
      <c r="A136" s="20" t="s">
        <v>140</v>
      </c>
      <c r="B136" s="21" t="s">
        <v>37</v>
      </c>
    </row>
    <row r="137" spans="1:17" x14ac:dyDescent="0.6">
      <c r="A137" s="5"/>
      <c r="B137" s="35" t="s">
        <v>80</v>
      </c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7"/>
    </row>
    <row r="138" spans="1:17" x14ac:dyDescent="0.6">
      <c r="A138" s="22"/>
      <c r="B138" s="27" t="s">
        <v>40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30"/>
    </row>
    <row r="139" spans="1:17" x14ac:dyDescent="0.6">
      <c r="A139" s="22"/>
      <c r="B139" s="27" t="s">
        <v>81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30"/>
    </row>
    <row r="140" spans="1:17" x14ac:dyDescent="0.6">
      <c r="A140" s="22"/>
      <c r="B140" s="27" t="s">
        <v>82</v>
      </c>
      <c r="C140" s="28"/>
      <c r="D140" s="28"/>
      <c r="E140" s="28"/>
      <c r="F140" s="28"/>
      <c r="G140" s="28"/>
      <c r="H140" s="28"/>
      <c r="I140" s="29"/>
      <c r="J140" s="27" t="s">
        <v>83</v>
      </c>
      <c r="K140" s="28"/>
      <c r="L140" s="28"/>
      <c r="M140" s="28"/>
      <c r="N140" s="28"/>
      <c r="O140" s="28"/>
      <c r="P140" s="28"/>
      <c r="Q140" s="30"/>
    </row>
    <row r="141" spans="1:17" x14ac:dyDescent="0.6">
      <c r="A141" s="22"/>
      <c r="B141" s="27" t="s">
        <v>84</v>
      </c>
      <c r="C141" s="28"/>
      <c r="D141" s="28"/>
      <c r="E141" s="28"/>
      <c r="F141" s="28"/>
      <c r="G141" s="29"/>
      <c r="H141" s="46" t="s">
        <v>85</v>
      </c>
      <c r="I141" s="47"/>
      <c r="J141" s="27" t="s">
        <v>84</v>
      </c>
      <c r="K141" s="28"/>
      <c r="L141" s="28"/>
      <c r="M141" s="28"/>
      <c r="N141" s="28"/>
      <c r="O141" s="29"/>
      <c r="P141" s="46" t="s">
        <v>85</v>
      </c>
      <c r="Q141" s="50"/>
    </row>
    <row r="142" spans="1:17" x14ac:dyDescent="0.6">
      <c r="A142" s="22"/>
      <c r="B142" s="27" t="s">
        <v>86</v>
      </c>
      <c r="C142" s="29"/>
      <c r="D142" s="27" t="s">
        <v>87</v>
      </c>
      <c r="E142" s="29"/>
      <c r="F142" s="27" t="s">
        <v>90</v>
      </c>
      <c r="G142" s="29"/>
      <c r="H142" s="48"/>
      <c r="I142" s="49"/>
      <c r="J142" s="27" t="s">
        <v>86</v>
      </c>
      <c r="K142" s="29"/>
      <c r="L142" s="27" t="s">
        <v>87</v>
      </c>
      <c r="M142" s="29"/>
      <c r="N142" s="27" t="s">
        <v>90</v>
      </c>
      <c r="O142" s="29"/>
      <c r="P142" s="48"/>
      <c r="Q142" s="51"/>
    </row>
    <row r="143" spans="1:17" x14ac:dyDescent="0.6">
      <c r="A143" s="22"/>
      <c r="B143" s="16" t="s">
        <v>134</v>
      </c>
      <c r="C143" s="16" t="s">
        <v>135</v>
      </c>
      <c r="D143" s="16" t="s">
        <v>134</v>
      </c>
      <c r="E143" s="16" t="s">
        <v>135</v>
      </c>
      <c r="F143" s="16" t="s">
        <v>134</v>
      </c>
      <c r="G143" s="16" t="s">
        <v>135</v>
      </c>
      <c r="H143" s="16" t="s">
        <v>134</v>
      </c>
      <c r="I143" s="16" t="s">
        <v>135</v>
      </c>
      <c r="J143" s="16" t="s">
        <v>134</v>
      </c>
      <c r="K143" s="16" t="s">
        <v>135</v>
      </c>
      <c r="L143" s="16" t="s">
        <v>134</v>
      </c>
      <c r="M143" s="16" t="s">
        <v>135</v>
      </c>
      <c r="N143" s="16" t="s">
        <v>134</v>
      </c>
      <c r="O143" s="16" t="s">
        <v>135</v>
      </c>
      <c r="P143" s="16" t="s">
        <v>134</v>
      </c>
      <c r="Q143" s="42" t="s">
        <v>135</v>
      </c>
    </row>
    <row r="144" spans="1:17" ht="54" x14ac:dyDescent="0.6">
      <c r="A144" s="9" t="s">
        <v>110</v>
      </c>
      <c r="B144" s="4">
        <v>6951</v>
      </c>
      <c r="C144" s="4">
        <v>11452</v>
      </c>
      <c r="D144" s="4">
        <v>52622</v>
      </c>
      <c r="E144" s="4">
        <v>103991</v>
      </c>
      <c r="F144" s="8">
        <v>0</v>
      </c>
      <c r="G144" s="8">
        <v>0</v>
      </c>
      <c r="H144" s="4">
        <v>59573</v>
      </c>
      <c r="I144" s="4">
        <v>115443</v>
      </c>
      <c r="J144" s="8"/>
      <c r="K144" s="8"/>
      <c r="L144" s="8"/>
      <c r="M144" s="8"/>
      <c r="N144" s="8"/>
      <c r="O144" s="8"/>
      <c r="P144" s="8"/>
      <c r="Q144" s="11"/>
    </row>
    <row r="145" spans="1:17" ht="40.5" x14ac:dyDescent="0.6">
      <c r="A145" s="9" t="s">
        <v>111</v>
      </c>
      <c r="B145" s="8">
        <v>5</v>
      </c>
      <c r="C145" s="8">
        <v>9</v>
      </c>
      <c r="D145" s="8">
        <v>218</v>
      </c>
      <c r="E145" s="8">
        <v>441</v>
      </c>
      <c r="F145" s="8">
        <v>0</v>
      </c>
      <c r="G145" s="8">
        <v>0</v>
      </c>
      <c r="H145" s="8">
        <v>223</v>
      </c>
      <c r="I145" s="8">
        <v>450</v>
      </c>
      <c r="J145" s="8"/>
      <c r="K145" s="8"/>
      <c r="L145" s="8"/>
      <c r="M145" s="8"/>
      <c r="N145" s="8"/>
      <c r="O145" s="8"/>
      <c r="P145" s="8"/>
      <c r="Q145" s="11"/>
    </row>
    <row r="146" spans="1:17" ht="40.5" x14ac:dyDescent="0.6">
      <c r="A146" s="9" t="s">
        <v>112</v>
      </c>
      <c r="B146" s="4">
        <v>2143</v>
      </c>
      <c r="C146" s="4">
        <v>4221</v>
      </c>
      <c r="D146" s="4">
        <v>3031</v>
      </c>
      <c r="E146" s="4">
        <v>6228</v>
      </c>
      <c r="F146" s="8">
        <v>0</v>
      </c>
      <c r="G146" s="8">
        <v>0</v>
      </c>
      <c r="H146" s="4">
        <v>5174</v>
      </c>
      <c r="I146" s="4">
        <v>10449</v>
      </c>
      <c r="J146" s="8"/>
      <c r="K146" s="8"/>
      <c r="L146" s="8"/>
      <c r="M146" s="8"/>
      <c r="N146" s="8"/>
      <c r="O146" s="8"/>
      <c r="P146" s="8"/>
      <c r="Q146" s="11"/>
    </row>
    <row r="147" spans="1:17" ht="40.5" x14ac:dyDescent="0.6">
      <c r="A147" s="9" t="s">
        <v>113</v>
      </c>
      <c r="B147" s="8">
        <v>-339</v>
      </c>
      <c r="C147" s="8">
        <v>-513</v>
      </c>
      <c r="D147" s="4">
        <v>1459</v>
      </c>
      <c r="E147" s="4">
        <v>2265</v>
      </c>
      <c r="F147" s="8">
        <v>0</v>
      </c>
      <c r="G147" s="8">
        <v>0</v>
      </c>
      <c r="H147" s="4">
        <v>1120</v>
      </c>
      <c r="I147" s="4">
        <v>1752</v>
      </c>
      <c r="J147" s="8"/>
      <c r="K147" s="8"/>
      <c r="L147" s="8"/>
      <c r="M147" s="8"/>
      <c r="N147" s="8"/>
      <c r="O147" s="8"/>
      <c r="P147" s="8"/>
      <c r="Q147" s="11"/>
    </row>
    <row r="148" spans="1:17" ht="40.5" x14ac:dyDescent="0.6">
      <c r="A148" s="7" t="s">
        <v>114</v>
      </c>
      <c r="B148" s="25">
        <v>8760</v>
      </c>
      <c r="C148" s="25">
        <v>15169</v>
      </c>
      <c r="D148" s="25">
        <v>57330</v>
      </c>
      <c r="E148" s="25">
        <v>112925</v>
      </c>
      <c r="F148" s="18">
        <v>0</v>
      </c>
      <c r="G148" s="18">
        <v>0</v>
      </c>
      <c r="H148" s="25">
        <v>66090</v>
      </c>
      <c r="I148" s="25">
        <v>128094</v>
      </c>
      <c r="J148" s="18">
        <v>0</v>
      </c>
      <c r="K148" s="18">
        <v>0</v>
      </c>
      <c r="L148" s="18">
        <v>0</v>
      </c>
      <c r="M148" s="18">
        <v>0</v>
      </c>
      <c r="N148" s="18">
        <v>5</v>
      </c>
      <c r="O148" s="18">
        <v>10</v>
      </c>
      <c r="P148" s="18">
        <v>5</v>
      </c>
      <c r="Q148" s="19">
        <v>10</v>
      </c>
    </row>
    <row r="149" spans="1:17" x14ac:dyDescent="0.6">
      <c r="A149" s="20"/>
    </row>
    <row r="150" spans="1:17" ht="27" x14ac:dyDescent="0.6">
      <c r="A150" s="52" t="s">
        <v>115</v>
      </c>
    </row>
    <row r="151" spans="1:17" x14ac:dyDescent="0.6">
      <c r="A151" s="20"/>
    </row>
    <row r="152" spans="1:17" x14ac:dyDescent="0.6">
      <c r="A152" s="34" t="s">
        <v>115</v>
      </c>
      <c r="B152" s="34"/>
    </row>
    <row r="153" spans="1:17" x14ac:dyDescent="0.6">
      <c r="A153" s="20" t="s">
        <v>139</v>
      </c>
      <c r="B153" s="21" t="s">
        <v>37</v>
      </c>
    </row>
    <row r="154" spans="1:17" x14ac:dyDescent="0.6">
      <c r="A154" s="5"/>
      <c r="B154" s="35" t="s">
        <v>80</v>
      </c>
      <c r="C154" s="36"/>
      <c r="D154" s="36"/>
      <c r="E154" s="36"/>
      <c r="F154" s="36"/>
      <c r="G154" s="36"/>
      <c r="H154" s="36"/>
      <c r="I154" s="37"/>
    </row>
    <row r="155" spans="1:17" x14ac:dyDescent="0.6">
      <c r="A155" s="22"/>
      <c r="B155" s="27" t="s">
        <v>40</v>
      </c>
      <c r="C155" s="28"/>
      <c r="D155" s="28"/>
      <c r="E155" s="28"/>
      <c r="F155" s="28"/>
      <c r="G155" s="28"/>
      <c r="H155" s="28"/>
      <c r="I155" s="30"/>
    </row>
    <row r="156" spans="1:17" x14ac:dyDescent="0.6">
      <c r="A156" s="22"/>
      <c r="B156" s="27" t="s">
        <v>84</v>
      </c>
      <c r="C156" s="28"/>
      <c r="D156" s="28"/>
      <c r="E156" s="28"/>
      <c r="F156" s="28"/>
      <c r="G156" s="29"/>
      <c r="H156" s="46" t="s">
        <v>85</v>
      </c>
      <c r="I156" s="50"/>
    </row>
    <row r="157" spans="1:17" x14ac:dyDescent="0.6">
      <c r="A157" s="22"/>
      <c r="B157" s="27" t="s">
        <v>86</v>
      </c>
      <c r="C157" s="29"/>
      <c r="D157" s="27" t="s">
        <v>87</v>
      </c>
      <c r="E157" s="29"/>
      <c r="F157" s="27" t="s">
        <v>90</v>
      </c>
      <c r="G157" s="29"/>
      <c r="H157" s="48"/>
      <c r="I157" s="51"/>
    </row>
    <row r="158" spans="1:17" x14ac:dyDescent="0.6">
      <c r="A158" s="22"/>
      <c r="B158" s="16" t="s">
        <v>134</v>
      </c>
      <c r="C158" s="16" t="s">
        <v>135</v>
      </c>
      <c r="D158" s="16" t="s">
        <v>134</v>
      </c>
      <c r="E158" s="16" t="s">
        <v>135</v>
      </c>
      <c r="F158" s="16" t="s">
        <v>134</v>
      </c>
      <c r="G158" s="16" t="s">
        <v>135</v>
      </c>
      <c r="H158" s="16" t="s">
        <v>134</v>
      </c>
      <c r="I158" s="42" t="s">
        <v>135</v>
      </c>
    </row>
    <row r="159" spans="1:17" ht="40.5" x14ac:dyDescent="0.6">
      <c r="A159" s="9" t="s">
        <v>109</v>
      </c>
      <c r="B159" s="4">
        <v>-1879</v>
      </c>
      <c r="C159" s="8">
        <v>976</v>
      </c>
      <c r="D159" s="4">
        <v>5755</v>
      </c>
      <c r="E159" s="4">
        <v>26658</v>
      </c>
      <c r="F159" s="8">
        <v>0</v>
      </c>
      <c r="G159" s="8">
        <v>0</v>
      </c>
      <c r="H159" s="4">
        <v>3876</v>
      </c>
      <c r="I159" s="10">
        <v>27634</v>
      </c>
    </row>
    <row r="160" spans="1:17" ht="40.5" x14ac:dyDescent="0.6">
      <c r="A160" s="9" t="s">
        <v>114</v>
      </c>
      <c r="B160" s="8">
        <v>-54</v>
      </c>
      <c r="C160" s="4">
        <v>4476</v>
      </c>
      <c r="D160" s="4">
        <v>6111</v>
      </c>
      <c r="E160" s="4">
        <v>30163</v>
      </c>
      <c r="F160" s="8">
        <v>5</v>
      </c>
      <c r="G160" s="8">
        <v>10</v>
      </c>
      <c r="H160" s="4">
        <v>6062</v>
      </c>
      <c r="I160" s="10">
        <v>34649</v>
      </c>
    </row>
    <row r="161" spans="1:9" x14ac:dyDescent="0.6">
      <c r="A161" s="7" t="s">
        <v>35</v>
      </c>
      <c r="B161" s="25">
        <v>-1825</v>
      </c>
      <c r="C161" s="25">
        <v>-3500</v>
      </c>
      <c r="D161" s="18">
        <v>-356</v>
      </c>
      <c r="E161" s="25">
        <v>-3505</v>
      </c>
      <c r="F161" s="18">
        <v>-5</v>
      </c>
      <c r="G161" s="18">
        <v>-10</v>
      </c>
      <c r="H161" s="25">
        <v>-2186</v>
      </c>
      <c r="I161" s="26">
        <v>-7015</v>
      </c>
    </row>
    <row r="162" spans="1:9" x14ac:dyDescent="0.6">
      <c r="A162" s="20"/>
    </row>
    <row r="163" spans="1:9" x14ac:dyDescent="0.6">
      <c r="A163" s="20" t="s">
        <v>140</v>
      </c>
      <c r="B163" s="21" t="s">
        <v>37</v>
      </c>
    </row>
    <row r="164" spans="1:9" x14ac:dyDescent="0.6">
      <c r="A164" s="5"/>
      <c r="B164" s="35" t="s">
        <v>80</v>
      </c>
      <c r="C164" s="36"/>
      <c r="D164" s="36"/>
      <c r="E164" s="36"/>
      <c r="F164" s="36"/>
      <c r="G164" s="36"/>
      <c r="H164" s="36"/>
      <c r="I164" s="37"/>
    </row>
    <row r="165" spans="1:9" x14ac:dyDescent="0.6">
      <c r="A165" s="22"/>
      <c r="B165" s="27" t="s">
        <v>40</v>
      </c>
      <c r="C165" s="28"/>
      <c r="D165" s="28"/>
      <c r="E165" s="28"/>
      <c r="F165" s="28"/>
      <c r="G165" s="28"/>
      <c r="H165" s="28"/>
      <c r="I165" s="30"/>
    </row>
    <row r="166" spans="1:9" x14ac:dyDescent="0.6">
      <c r="A166" s="22"/>
      <c r="B166" s="27" t="s">
        <v>84</v>
      </c>
      <c r="C166" s="28"/>
      <c r="D166" s="28"/>
      <c r="E166" s="28"/>
      <c r="F166" s="28"/>
      <c r="G166" s="29"/>
      <c r="H166" s="46" t="s">
        <v>85</v>
      </c>
      <c r="I166" s="50"/>
    </row>
    <row r="167" spans="1:9" x14ac:dyDescent="0.6">
      <c r="A167" s="22"/>
      <c r="B167" s="27" t="s">
        <v>86</v>
      </c>
      <c r="C167" s="29"/>
      <c r="D167" s="27" t="s">
        <v>87</v>
      </c>
      <c r="E167" s="29"/>
      <c r="F167" s="27" t="s">
        <v>90</v>
      </c>
      <c r="G167" s="29"/>
      <c r="H167" s="48"/>
      <c r="I167" s="51"/>
    </row>
    <row r="168" spans="1:9" x14ac:dyDescent="0.6">
      <c r="A168" s="22"/>
      <c r="B168" s="16" t="s">
        <v>134</v>
      </c>
      <c r="C168" s="16" t="s">
        <v>135</v>
      </c>
      <c r="D168" s="16" t="s">
        <v>134</v>
      </c>
      <c r="E168" s="16" t="s">
        <v>135</v>
      </c>
      <c r="F168" s="16" t="s">
        <v>134</v>
      </c>
      <c r="G168" s="16" t="s">
        <v>135</v>
      </c>
      <c r="H168" s="16" t="s">
        <v>134</v>
      </c>
      <c r="I168" s="42" t="s">
        <v>135</v>
      </c>
    </row>
    <row r="169" spans="1:9" ht="40.5" x14ac:dyDescent="0.6">
      <c r="A169" s="9" t="s">
        <v>109</v>
      </c>
      <c r="B169" s="4">
        <v>5696</v>
      </c>
      <c r="C169" s="4">
        <v>10535</v>
      </c>
      <c r="D169" s="4">
        <v>52205</v>
      </c>
      <c r="E169" s="4">
        <v>114472</v>
      </c>
      <c r="F169" s="8">
        <v>0</v>
      </c>
      <c r="G169" s="8">
        <v>0</v>
      </c>
      <c r="H169" s="4">
        <v>57901</v>
      </c>
      <c r="I169" s="10">
        <v>125007</v>
      </c>
    </row>
    <row r="170" spans="1:9" ht="40.5" x14ac:dyDescent="0.6">
      <c r="A170" s="9" t="s">
        <v>114</v>
      </c>
      <c r="B170" s="4">
        <v>8760</v>
      </c>
      <c r="C170" s="4">
        <v>15169</v>
      </c>
      <c r="D170" s="4">
        <v>57330</v>
      </c>
      <c r="E170" s="4">
        <v>112925</v>
      </c>
      <c r="F170" s="8">
        <v>5</v>
      </c>
      <c r="G170" s="8">
        <v>10</v>
      </c>
      <c r="H170" s="4">
        <v>66095</v>
      </c>
      <c r="I170" s="10">
        <v>128104</v>
      </c>
    </row>
    <row r="171" spans="1:9" x14ac:dyDescent="0.6">
      <c r="A171" s="7" t="s">
        <v>35</v>
      </c>
      <c r="B171" s="25">
        <v>-3064</v>
      </c>
      <c r="C171" s="25">
        <v>-4634</v>
      </c>
      <c r="D171" s="25">
        <v>-5125</v>
      </c>
      <c r="E171" s="25">
        <v>1547</v>
      </c>
      <c r="F171" s="18">
        <v>-5</v>
      </c>
      <c r="G171" s="18">
        <v>-10</v>
      </c>
      <c r="H171" s="25">
        <v>-8194</v>
      </c>
      <c r="I171" s="26">
        <v>-3097</v>
      </c>
    </row>
    <row r="172" spans="1:9" x14ac:dyDescent="0.6">
      <c r="A172" s="20"/>
    </row>
    <row r="173" spans="1:9" x14ac:dyDescent="0.6">
      <c r="A173" s="20"/>
    </row>
  </sheetData>
  <mergeCells count="178">
    <mergeCell ref="B164:I164"/>
    <mergeCell ref="B165:I165"/>
    <mergeCell ref="B166:G166"/>
    <mergeCell ref="H166:I167"/>
    <mergeCell ref="B167:C167"/>
    <mergeCell ref="D167:E167"/>
    <mergeCell ref="F167:G167"/>
    <mergeCell ref="A152:B152"/>
    <mergeCell ref="B154:I154"/>
    <mergeCell ref="B155:I155"/>
    <mergeCell ref="B156:G156"/>
    <mergeCell ref="H156:I157"/>
    <mergeCell ref="B157:C157"/>
    <mergeCell ref="D157:E157"/>
    <mergeCell ref="F157:G157"/>
    <mergeCell ref="B141:G141"/>
    <mergeCell ref="H141:I142"/>
    <mergeCell ref="J141:O141"/>
    <mergeCell ref="P141:Q142"/>
    <mergeCell ref="B142:C142"/>
    <mergeCell ref="D142:E142"/>
    <mergeCell ref="F142:G142"/>
    <mergeCell ref="J142:K142"/>
    <mergeCell ref="L142:M142"/>
    <mergeCell ref="N142:O142"/>
    <mergeCell ref="B137:Q137"/>
    <mergeCell ref="B138:Q138"/>
    <mergeCell ref="B139:Q139"/>
    <mergeCell ref="B140:I140"/>
    <mergeCell ref="J140:Q140"/>
    <mergeCell ref="B127:G127"/>
    <mergeCell ref="H127:I128"/>
    <mergeCell ref="J127:O127"/>
    <mergeCell ref="P127:Q128"/>
    <mergeCell ref="B128:C128"/>
    <mergeCell ref="D128:E128"/>
    <mergeCell ref="F128:G128"/>
    <mergeCell ref="J128:K128"/>
    <mergeCell ref="L128:M128"/>
    <mergeCell ref="N128:O128"/>
    <mergeCell ref="A121:B121"/>
    <mergeCell ref="B123:Q123"/>
    <mergeCell ref="B124:Q124"/>
    <mergeCell ref="B125:Q125"/>
    <mergeCell ref="B126:I126"/>
    <mergeCell ref="J126:Q126"/>
    <mergeCell ref="B113:G113"/>
    <mergeCell ref="H113:I114"/>
    <mergeCell ref="J113:O113"/>
    <mergeCell ref="P113:Q114"/>
    <mergeCell ref="B114:C114"/>
    <mergeCell ref="D114:E114"/>
    <mergeCell ref="F114:G114"/>
    <mergeCell ref="J114:K114"/>
    <mergeCell ref="L114:M114"/>
    <mergeCell ref="N114:O114"/>
    <mergeCell ref="B109:Q109"/>
    <mergeCell ref="B110:Q110"/>
    <mergeCell ref="B111:Q111"/>
    <mergeCell ref="B112:I112"/>
    <mergeCell ref="J112:Q112"/>
    <mergeCell ref="B100:G100"/>
    <mergeCell ref="H100:I101"/>
    <mergeCell ref="J100:O100"/>
    <mergeCell ref="P100:Q101"/>
    <mergeCell ref="B101:C101"/>
    <mergeCell ref="D101:E101"/>
    <mergeCell ref="F101:G101"/>
    <mergeCell ref="J101:K101"/>
    <mergeCell ref="L101:M101"/>
    <mergeCell ref="N101:O101"/>
    <mergeCell ref="A94:B94"/>
    <mergeCell ref="B96:Q96"/>
    <mergeCell ref="B97:Q97"/>
    <mergeCell ref="B98:Q98"/>
    <mergeCell ref="B99:I99"/>
    <mergeCell ref="J99:Q99"/>
    <mergeCell ref="B74:K74"/>
    <mergeCell ref="L74:M75"/>
    <mergeCell ref="B75:C75"/>
    <mergeCell ref="D75:E75"/>
    <mergeCell ref="F75:G75"/>
    <mergeCell ref="H75:I75"/>
    <mergeCell ref="J75:K75"/>
    <mergeCell ref="L59:M60"/>
    <mergeCell ref="N59:W59"/>
    <mergeCell ref="X59:Y60"/>
    <mergeCell ref="B60:C60"/>
    <mergeCell ref="D60:E60"/>
    <mergeCell ref="F60:G60"/>
    <mergeCell ref="H60:I60"/>
    <mergeCell ref="J60:K60"/>
    <mergeCell ref="N60:O60"/>
    <mergeCell ref="P60:Q60"/>
    <mergeCell ref="R60:S60"/>
    <mergeCell ref="T60:U60"/>
    <mergeCell ref="V60:W60"/>
    <mergeCell ref="B44:M44"/>
    <mergeCell ref="N44:Y44"/>
    <mergeCell ref="B45:K45"/>
    <mergeCell ref="L45:M46"/>
    <mergeCell ref="N45:W45"/>
    <mergeCell ref="X45:Y46"/>
    <mergeCell ref="B46:C46"/>
    <mergeCell ref="D46:E46"/>
    <mergeCell ref="F46:G46"/>
    <mergeCell ref="H46:I46"/>
    <mergeCell ref="J46:K46"/>
    <mergeCell ref="N46:O46"/>
    <mergeCell ref="P46:Q46"/>
    <mergeCell ref="R46:S46"/>
    <mergeCell ref="T46:U46"/>
    <mergeCell ref="V46:W46"/>
    <mergeCell ref="A30:B30"/>
    <mergeCell ref="A31:A37"/>
    <mergeCell ref="A39:B39"/>
    <mergeCell ref="B41:Y41"/>
    <mergeCell ref="B42:Y42"/>
    <mergeCell ref="O27:X27"/>
    <mergeCell ref="Y27:Z28"/>
    <mergeCell ref="C28:D28"/>
    <mergeCell ref="E28:F28"/>
    <mergeCell ref="G28:H28"/>
    <mergeCell ref="I28:J28"/>
    <mergeCell ref="K28:L28"/>
    <mergeCell ref="O28:P28"/>
    <mergeCell ref="Q28:R28"/>
    <mergeCell ref="S28:T28"/>
    <mergeCell ref="U28:V28"/>
    <mergeCell ref="W28:X28"/>
    <mergeCell ref="O10:X10"/>
    <mergeCell ref="Y10:Z11"/>
    <mergeCell ref="C11:D11"/>
    <mergeCell ref="E11:F11"/>
    <mergeCell ref="G11:H11"/>
    <mergeCell ref="I11:J11"/>
    <mergeCell ref="K11:L11"/>
    <mergeCell ref="O11:P11"/>
    <mergeCell ref="Q11:R11"/>
    <mergeCell ref="S11:T11"/>
    <mergeCell ref="U11:V11"/>
    <mergeCell ref="W11:X11"/>
    <mergeCell ref="B82:M82"/>
    <mergeCell ref="B83:M83"/>
    <mergeCell ref="B84:K84"/>
    <mergeCell ref="L84:M85"/>
    <mergeCell ref="B85:C85"/>
    <mergeCell ref="D85:E85"/>
    <mergeCell ref="F85:G85"/>
    <mergeCell ref="H85:I85"/>
    <mergeCell ref="J85:K85"/>
    <mergeCell ref="A70:B70"/>
    <mergeCell ref="B72:M72"/>
    <mergeCell ref="B73:M73"/>
    <mergeCell ref="B55:Y55"/>
    <mergeCell ref="B56:Y56"/>
    <mergeCell ref="B57:Y57"/>
    <mergeCell ref="B58:M58"/>
    <mergeCell ref="N58:Y58"/>
    <mergeCell ref="B59:K59"/>
    <mergeCell ref="B43:Y43"/>
    <mergeCell ref="C10:L10"/>
    <mergeCell ref="M10:N11"/>
    <mergeCell ref="A4:B4"/>
    <mergeCell ref="C6:Z6"/>
    <mergeCell ref="C7:Z7"/>
    <mergeCell ref="C8:Z8"/>
    <mergeCell ref="C9:N9"/>
    <mergeCell ref="O9:Z9"/>
    <mergeCell ref="A13:B13"/>
    <mergeCell ref="A14:A20"/>
    <mergeCell ref="C23:Z23"/>
    <mergeCell ref="C24:Z24"/>
    <mergeCell ref="C25:Z25"/>
    <mergeCell ref="C26:N26"/>
    <mergeCell ref="O26:Z26"/>
    <mergeCell ref="C27:L27"/>
    <mergeCell ref="M27:N2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EEC7-CE9B-417C-8843-1A1AB8BC1846}">
  <dimension ref="A1:F58"/>
  <sheetViews>
    <sheetView zoomScale="70" zoomScaleNormal="70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C38" sqref="C38"/>
    </sheetView>
  </sheetViews>
  <sheetFormatPr defaultRowHeight="16.899999999999999" x14ac:dyDescent="0.6"/>
  <cols>
    <col min="1" max="1" width="44.625" bestFit="1" customWidth="1"/>
    <col min="2" max="2" width="17.375" bestFit="1" customWidth="1"/>
    <col min="3" max="4" width="16.625" bestFit="1" customWidth="1"/>
    <col min="6" max="8" width="10.9375" bestFit="1" customWidth="1"/>
  </cols>
  <sheetData>
    <row r="1" spans="1:6" x14ac:dyDescent="0.6">
      <c r="A1" s="40" t="s">
        <v>43</v>
      </c>
    </row>
    <row r="2" spans="1:6" x14ac:dyDescent="0.6">
      <c r="A2" s="41" t="s">
        <v>44</v>
      </c>
      <c r="F2" s="13"/>
    </row>
    <row r="3" spans="1:6" x14ac:dyDescent="0.6">
      <c r="A3" s="15" t="s">
        <v>130</v>
      </c>
    </row>
    <row r="4" spans="1:6" x14ac:dyDescent="0.6">
      <c r="A4" s="15" t="s">
        <v>131</v>
      </c>
      <c r="F4" s="1"/>
    </row>
    <row r="5" spans="1:6" x14ac:dyDescent="0.6">
      <c r="A5" s="21" t="s">
        <v>37</v>
      </c>
    </row>
    <row r="6" spans="1:6" x14ac:dyDescent="0.6">
      <c r="A6" s="43"/>
      <c r="B6" s="35" t="s">
        <v>132</v>
      </c>
      <c r="C6" s="45"/>
      <c r="D6" s="35" t="s">
        <v>133</v>
      </c>
      <c r="E6" s="37"/>
    </row>
    <row r="7" spans="1:6" x14ac:dyDescent="0.6">
      <c r="A7" s="44"/>
      <c r="B7" s="16" t="s">
        <v>134</v>
      </c>
      <c r="C7" s="16" t="s">
        <v>135</v>
      </c>
      <c r="D7" s="16" t="s">
        <v>134</v>
      </c>
      <c r="E7" s="42" t="s">
        <v>135</v>
      </c>
    </row>
    <row r="8" spans="1:6" x14ac:dyDescent="0.6">
      <c r="A8" s="9" t="s">
        <v>45</v>
      </c>
      <c r="B8" s="4">
        <v>71792</v>
      </c>
      <c r="C8" s="4">
        <v>175999</v>
      </c>
      <c r="D8" s="4">
        <v>183724</v>
      </c>
      <c r="E8" s="10">
        <v>274552</v>
      </c>
    </row>
    <row r="9" spans="1:6" x14ac:dyDescent="0.6">
      <c r="A9" s="9" t="s">
        <v>46</v>
      </c>
      <c r="B9" s="4">
        <v>1285360</v>
      </c>
      <c r="C9" s="4">
        <v>2563295</v>
      </c>
      <c r="D9" s="4">
        <v>1260163</v>
      </c>
      <c r="E9" s="10">
        <v>2523822</v>
      </c>
    </row>
    <row r="10" spans="1:6" x14ac:dyDescent="0.6">
      <c r="A10" s="9" t="s">
        <v>47</v>
      </c>
      <c r="B10" s="4">
        <v>1281484</v>
      </c>
      <c r="C10" s="4">
        <v>2535661</v>
      </c>
      <c r="D10" s="4">
        <v>1202262</v>
      </c>
      <c r="E10" s="10">
        <v>2398815</v>
      </c>
    </row>
    <row r="11" spans="1:6" x14ac:dyDescent="0.6">
      <c r="A11" s="9" t="s">
        <v>48</v>
      </c>
      <c r="B11" s="4">
        <v>3876</v>
      </c>
      <c r="C11" s="4">
        <v>27634</v>
      </c>
      <c r="D11" s="4">
        <v>57901</v>
      </c>
      <c r="E11" s="10">
        <v>125007</v>
      </c>
    </row>
    <row r="12" spans="1:6" x14ac:dyDescent="0.6">
      <c r="A12" s="9" t="s">
        <v>22</v>
      </c>
      <c r="B12" s="4">
        <v>1213568</v>
      </c>
      <c r="C12" s="4">
        <v>2387296</v>
      </c>
      <c r="D12" s="4">
        <v>1076439</v>
      </c>
      <c r="E12" s="10">
        <v>2249270</v>
      </c>
    </row>
    <row r="13" spans="1:6" x14ac:dyDescent="0.6">
      <c r="A13" s="9" t="s">
        <v>49</v>
      </c>
      <c r="B13" s="4">
        <v>1175356</v>
      </c>
      <c r="C13" s="4">
        <v>2292787</v>
      </c>
      <c r="D13" s="4">
        <v>978024</v>
      </c>
      <c r="E13" s="10">
        <v>2041946</v>
      </c>
    </row>
    <row r="14" spans="1:6" x14ac:dyDescent="0.6">
      <c r="A14" s="9" t="s">
        <v>50</v>
      </c>
      <c r="B14" s="4">
        <v>6062</v>
      </c>
      <c r="C14" s="4">
        <v>34649</v>
      </c>
      <c r="D14" s="4">
        <v>66095</v>
      </c>
      <c r="E14" s="10">
        <v>128104</v>
      </c>
    </row>
    <row r="15" spans="1:6" x14ac:dyDescent="0.6">
      <c r="A15" s="9" t="s">
        <v>23</v>
      </c>
      <c r="B15" s="4">
        <v>32150</v>
      </c>
      <c r="C15" s="4">
        <v>59860</v>
      </c>
      <c r="D15" s="4">
        <v>32320</v>
      </c>
      <c r="E15" s="10">
        <v>79220</v>
      </c>
    </row>
    <row r="16" spans="1:6" x14ac:dyDescent="0.6">
      <c r="A16" s="9" t="s">
        <v>24</v>
      </c>
      <c r="B16" s="4">
        <v>-5977</v>
      </c>
      <c r="C16" s="4">
        <v>14893</v>
      </c>
      <c r="D16" s="4">
        <v>28860</v>
      </c>
      <c r="E16" s="10">
        <v>99089</v>
      </c>
    </row>
    <row r="17" spans="1:5" x14ac:dyDescent="0.6">
      <c r="A17" s="9" t="s">
        <v>51</v>
      </c>
      <c r="B17" s="4">
        <v>3005941</v>
      </c>
      <c r="C17" s="4">
        <v>5095039</v>
      </c>
      <c r="D17" s="4">
        <v>2236288</v>
      </c>
      <c r="E17" s="10">
        <v>4555140</v>
      </c>
    </row>
    <row r="18" spans="1:5" x14ac:dyDescent="0.6">
      <c r="A18" s="9" t="s">
        <v>25</v>
      </c>
      <c r="B18" s="4">
        <v>1377</v>
      </c>
      <c r="C18" s="4">
        <v>2632</v>
      </c>
      <c r="D18" s="4">
        <v>1372</v>
      </c>
      <c r="E18" s="10">
        <v>2466</v>
      </c>
    </row>
    <row r="19" spans="1:5" x14ac:dyDescent="0.6">
      <c r="A19" s="9" t="s">
        <v>26</v>
      </c>
      <c r="B19" s="4">
        <v>660206</v>
      </c>
      <c r="C19" s="4">
        <v>1295174</v>
      </c>
      <c r="D19" s="4">
        <v>621482</v>
      </c>
      <c r="E19" s="10">
        <v>1248527</v>
      </c>
    </row>
    <row r="20" spans="1:5" x14ac:dyDescent="0.6">
      <c r="A20" s="9" t="s">
        <v>27</v>
      </c>
      <c r="B20" s="4">
        <v>11290</v>
      </c>
      <c r="C20" s="4">
        <v>50409</v>
      </c>
      <c r="D20" s="4">
        <v>10569</v>
      </c>
      <c r="E20" s="10">
        <v>33505</v>
      </c>
    </row>
    <row r="21" spans="1:5" x14ac:dyDescent="0.6">
      <c r="A21" s="9" t="s">
        <v>52</v>
      </c>
      <c r="B21" s="4">
        <v>1374634</v>
      </c>
      <c r="C21" s="4">
        <v>2215546</v>
      </c>
      <c r="D21" s="4">
        <v>855761</v>
      </c>
      <c r="E21" s="10">
        <v>1813822</v>
      </c>
    </row>
    <row r="22" spans="1:5" x14ac:dyDescent="0.6">
      <c r="A22" s="9" t="s">
        <v>53</v>
      </c>
      <c r="B22" s="4">
        <v>50177</v>
      </c>
      <c r="C22" s="4">
        <v>91791</v>
      </c>
      <c r="D22" s="4">
        <v>20932</v>
      </c>
      <c r="E22" s="10">
        <v>54646</v>
      </c>
    </row>
    <row r="23" spans="1:5" x14ac:dyDescent="0.6">
      <c r="A23" s="9" t="s">
        <v>54</v>
      </c>
      <c r="B23" s="8">
        <v>429</v>
      </c>
      <c r="C23" s="8">
        <v>729</v>
      </c>
      <c r="D23" s="8">
        <v>0</v>
      </c>
      <c r="E23" s="11">
        <v>0</v>
      </c>
    </row>
    <row r="24" spans="1:5" x14ac:dyDescent="0.6">
      <c r="A24" s="9" t="s">
        <v>55</v>
      </c>
      <c r="B24" s="4">
        <v>809405</v>
      </c>
      <c r="C24" s="4">
        <v>1103169</v>
      </c>
      <c r="D24" s="4">
        <v>296276</v>
      </c>
      <c r="E24" s="10">
        <v>492945</v>
      </c>
    </row>
    <row r="25" spans="1:5" x14ac:dyDescent="0.6">
      <c r="A25" s="9" t="s">
        <v>56</v>
      </c>
      <c r="B25" s="4">
        <v>70708</v>
      </c>
      <c r="C25" s="4">
        <v>279648</v>
      </c>
      <c r="D25" s="4">
        <v>388349</v>
      </c>
      <c r="E25" s="10">
        <v>827088</v>
      </c>
    </row>
    <row r="26" spans="1:5" x14ac:dyDescent="0.6">
      <c r="A26" s="9" t="s">
        <v>57</v>
      </c>
      <c r="B26" s="4">
        <v>27715</v>
      </c>
      <c r="C26" s="4">
        <v>55941</v>
      </c>
      <c r="D26" s="4">
        <v>41547</v>
      </c>
      <c r="E26" s="10">
        <v>82141</v>
      </c>
    </row>
    <row r="27" spans="1:5" x14ac:dyDescent="0.6">
      <c r="A27" s="9" t="s">
        <v>58</v>
      </c>
      <c r="B27" s="4">
        <v>3011918</v>
      </c>
      <c r="C27" s="4">
        <v>5080146</v>
      </c>
      <c r="D27" s="4">
        <v>2207428</v>
      </c>
      <c r="E27" s="10">
        <v>4456051</v>
      </c>
    </row>
    <row r="28" spans="1:5" x14ac:dyDescent="0.6">
      <c r="A28" s="9" t="s">
        <v>28</v>
      </c>
      <c r="B28" s="4">
        <v>1235497</v>
      </c>
      <c r="C28" s="4">
        <v>2296931</v>
      </c>
      <c r="D28" s="4">
        <v>1031564</v>
      </c>
      <c r="E28" s="10">
        <v>1794638</v>
      </c>
    </row>
    <row r="29" spans="1:5" x14ac:dyDescent="0.6">
      <c r="A29" s="9" t="s">
        <v>36</v>
      </c>
      <c r="B29" s="8">
        <v>302</v>
      </c>
      <c r="C29" s="8">
        <v>559</v>
      </c>
      <c r="D29" s="8">
        <v>257</v>
      </c>
      <c r="E29" s="11">
        <v>515</v>
      </c>
    </row>
    <row r="30" spans="1:5" x14ac:dyDescent="0.6">
      <c r="A30" s="9" t="s">
        <v>59</v>
      </c>
      <c r="B30" s="4">
        <v>34128</v>
      </c>
      <c r="C30" s="4">
        <v>68156</v>
      </c>
      <c r="D30" s="4">
        <v>28622</v>
      </c>
      <c r="E30" s="10">
        <v>61547</v>
      </c>
    </row>
    <row r="31" spans="1:5" x14ac:dyDescent="0.6">
      <c r="A31" s="9" t="s">
        <v>60</v>
      </c>
      <c r="B31" s="4">
        <v>228468</v>
      </c>
      <c r="C31" s="4">
        <v>607351</v>
      </c>
      <c r="D31" s="4">
        <v>278332</v>
      </c>
      <c r="E31" s="10">
        <v>792605</v>
      </c>
    </row>
    <row r="32" spans="1:5" x14ac:dyDescent="0.6">
      <c r="A32" s="9" t="s">
        <v>61</v>
      </c>
      <c r="B32" s="8">
        <v>261</v>
      </c>
      <c r="C32" s="8">
        <v>326</v>
      </c>
      <c r="D32" s="4">
        <v>1727</v>
      </c>
      <c r="E32" s="10">
        <v>2368</v>
      </c>
    </row>
    <row r="33" spans="1:5" x14ac:dyDescent="0.6">
      <c r="A33" s="9" t="s">
        <v>62</v>
      </c>
      <c r="B33" s="4">
        <v>21565</v>
      </c>
      <c r="C33" s="4">
        <v>45992</v>
      </c>
      <c r="D33" s="4">
        <v>20086</v>
      </c>
      <c r="E33" s="10">
        <v>46455</v>
      </c>
    </row>
    <row r="34" spans="1:5" x14ac:dyDescent="0.6">
      <c r="A34" s="9" t="s">
        <v>63</v>
      </c>
      <c r="B34" s="4">
        <v>480247</v>
      </c>
      <c r="C34" s="4">
        <v>834952</v>
      </c>
      <c r="D34" s="4">
        <v>646368</v>
      </c>
      <c r="E34" s="10">
        <v>1370716</v>
      </c>
    </row>
    <row r="35" spans="1:5" x14ac:dyDescent="0.6">
      <c r="A35" s="9" t="s">
        <v>64</v>
      </c>
      <c r="B35" s="4">
        <v>846373</v>
      </c>
      <c r="C35" s="4">
        <v>913143</v>
      </c>
      <c r="D35" s="4">
        <v>35542</v>
      </c>
      <c r="E35" s="10">
        <v>81908</v>
      </c>
    </row>
    <row r="36" spans="1:5" x14ac:dyDescent="0.6">
      <c r="A36" s="9" t="s">
        <v>65</v>
      </c>
      <c r="B36" s="4">
        <v>127794</v>
      </c>
      <c r="C36" s="4">
        <v>251645</v>
      </c>
      <c r="D36" s="4">
        <v>121734</v>
      </c>
      <c r="E36" s="10">
        <v>235215</v>
      </c>
    </row>
    <row r="37" spans="1:5" x14ac:dyDescent="0.6">
      <c r="A37" s="9" t="s">
        <v>29</v>
      </c>
      <c r="B37" s="4">
        <v>37283</v>
      </c>
      <c r="C37" s="4">
        <v>61091</v>
      </c>
      <c r="D37" s="4">
        <v>43196</v>
      </c>
      <c r="E37" s="10">
        <v>70084</v>
      </c>
    </row>
    <row r="38" spans="1:5" x14ac:dyDescent="0.6">
      <c r="A38" s="9" t="s">
        <v>17</v>
      </c>
      <c r="B38" s="4">
        <v>65815</v>
      </c>
      <c r="C38" s="4">
        <v>190892</v>
      </c>
      <c r="D38" s="4">
        <v>212584</v>
      </c>
      <c r="E38" s="10">
        <v>373641</v>
      </c>
    </row>
    <row r="39" spans="1:5" x14ac:dyDescent="0.6">
      <c r="A39" s="9" t="s">
        <v>18</v>
      </c>
      <c r="B39" s="4">
        <v>5497</v>
      </c>
      <c r="C39" s="4">
        <v>32549</v>
      </c>
      <c r="D39" s="4">
        <v>-1062</v>
      </c>
      <c r="E39" s="10">
        <v>57509</v>
      </c>
    </row>
    <row r="40" spans="1:5" x14ac:dyDescent="0.6">
      <c r="A40" s="9" t="s">
        <v>30</v>
      </c>
      <c r="B40" s="4">
        <v>6721</v>
      </c>
      <c r="C40" s="4">
        <v>37093</v>
      </c>
      <c r="D40" s="4">
        <v>3408</v>
      </c>
      <c r="E40" s="10">
        <v>68033</v>
      </c>
    </row>
    <row r="41" spans="1:5" x14ac:dyDescent="0.6">
      <c r="A41" s="9" t="s">
        <v>31</v>
      </c>
      <c r="B41" s="4">
        <v>1224</v>
      </c>
      <c r="C41" s="4">
        <v>4544</v>
      </c>
      <c r="D41" s="4">
        <v>4470</v>
      </c>
      <c r="E41" s="10">
        <v>10524</v>
      </c>
    </row>
    <row r="42" spans="1:5" x14ac:dyDescent="0.6">
      <c r="A42" s="9" t="s">
        <v>66</v>
      </c>
      <c r="B42" s="4">
        <v>71312</v>
      </c>
      <c r="C42" s="4">
        <v>223441</v>
      </c>
      <c r="D42" s="4">
        <v>211522</v>
      </c>
      <c r="E42" s="10">
        <v>431150</v>
      </c>
    </row>
    <row r="43" spans="1:5" s="12" customFormat="1" x14ac:dyDescent="0.6">
      <c r="A43" s="9" t="s">
        <v>32</v>
      </c>
      <c r="B43" s="4">
        <v>13601</v>
      </c>
      <c r="C43" s="4">
        <v>43740</v>
      </c>
      <c r="D43" s="4">
        <v>39233</v>
      </c>
      <c r="E43" s="10">
        <v>83332</v>
      </c>
    </row>
    <row r="44" spans="1:5" x14ac:dyDescent="0.6">
      <c r="A44" s="9" t="s">
        <v>136</v>
      </c>
      <c r="B44" s="4">
        <v>57711</v>
      </c>
      <c r="C44" s="4">
        <v>179701</v>
      </c>
      <c r="D44" s="4">
        <v>172289</v>
      </c>
      <c r="E44" s="10">
        <v>347818</v>
      </c>
    </row>
    <row r="45" spans="1:5" x14ac:dyDescent="0.6">
      <c r="A45" s="9" t="s">
        <v>67</v>
      </c>
      <c r="B45" s="4">
        <v>88905</v>
      </c>
      <c r="C45" s="4">
        <v>-790286</v>
      </c>
      <c r="D45" s="4">
        <v>-1062057</v>
      </c>
      <c r="E45" s="10">
        <v>-1851589</v>
      </c>
    </row>
    <row r="46" spans="1:5" ht="27" x14ac:dyDescent="0.6">
      <c r="A46" s="9" t="s">
        <v>68</v>
      </c>
      <c r="B46" s="4">
        <v>5105</v>
      </c>
      <c r="C46" s="4">
        <v>-4840</v>
      </c>
      <c r="D46" s="4">
        <v>3041</v>
      </c>
      <c r="E46" s="11">
        <v>719</v>
      </c>
    </row>
    <row r="47" spans="1:5" x14ac:dyDescent="0.6">
      <c r="A47" s="9" t="s">
        <v>69</v>
      </c>
      <c r="B47" s="4">
        <v>4540</v>
      </c>
      <c r="C47" s="4">
        <v>-7840</v>
      </c>
      <c r="D47" s="8">
        <v>-280</v>
      </c>
      <c r="E47" s="10">
        <v>1219</v>
      </c>
    </row>
    <row r="48" spans="1:5" x14ac:dyDescent="0.6">
      <c r="A48" s="9" t="s">
        <v>70</v>
      </c>
      <c r="B48" s="8">
        <v>565</v>
      </c>
      <c r="C48" s="4">
        <v>3000</v>
      </c>
      <c r="D48" s="4">
        <v>3321</v>
      </c>
      <c r="E48" s="11">
        <v>315</v>
      </c>
    </row>
    <row r="49" spans="1:5" x14ac:dyDescent="0.6">
      <c r="A49" s="9" t="s">
        <v>71</v>
      </c>
      <c r="B49" s="8">
        <v>0</v>
      </c>
      <c r="C49" s="8">
        <v>0</v>
      </c>
      <c r="D49" s="8">
        <v>0</v>
      </c>
      <c r="E49" s="11">
        <v>-815</v>
      </c>
    </row>
    <row r="50" spans="1:5" ht="27" x14ac:dyDescent="0.6">
      <c r="A50" s="9" t="s">
        <v>72</v>
      </c>
      <c r="B50" s="4">
        <v>83800</v>
      </c>
      <c r="C50" s="4">
        <v>-785446</v>
      </c>
      <c r="D50" s="4">
        <v>-1065098</v>
      </c>
      <c r="E50" s="10">
        <v>-1852308</v>
      </c>
    </row>
    <row r="51" spans="1:5" x14ac:dyDescent="0.6">
      <c r="A51" s="9" t="s">
        <v>73</v>
      </c>
      <c r="B51" s="4">
        <v>-694993</v>
      </c>
      <c r="C51" s="4">
        <v>295502</v>
      </c>
      <c r="D51" s="4">
        <v>505614</v>
      </c>
      <c r="E51" s="10">
        <v>-202781</v>
      </c>
    </row>
    <row r="52" spans="1:5" x14ac:dyDescent="0.6">
      <c r="A52" s="9" t="s">
        <v>74</v>
      </c>
      <c r="B52" s="4">
        <v>1002494</v>
      </c>
      <c r="C52" s="4">
        <v>-1077123</v>
      </c>
      <c r="D52" s="4">
        <v>-1659857</v>
      </c>
      <c r="E52" s="10">
        <v>-1552911</v>
      </c>
    </row>
    <row r="53" spans="1:5" x14ac:dyDescent="0.6">
      <c r="A53" s="9" t="s">
        <v>75</v>
      </c>
      <c r="B53" s="8">
        <v>-500</v>
      </c>
      <c r="C53" s="8">
        <v>-692</v>
      </c>
      <c r="D53" s="8">
        <v>878</v>
      </c>
      <c r="E53" s="11">
        <v>324</v>
      </c>
    </row>
    <row r="54" spans="1:5" x14ac:dyDescent="0.6">
      <c r="A54" s="9" t="s">
        <v>76</v>
      </c>
      <c r="B54" s="4">
        <v>-223201</v>
      </c>
      <c r="C54" s="4">
        <v>-3133</v>
      </c>
      <c r="D54" s="4">
        <v>88267</v>
      </c>
      <c r="E54" s="10">
        <v>-96940</v>
      </c>
    </row>
    <row r="55" spans="1:5" x14ac:dyDescent="0.6">
      <c r="A55" s="9" t="s">
        <v>33</v>
      </c>
      <c r="B55" s="4">
        <v>146616</v>
      </c>
      <c r="C55" s="4">
        <v>-610585</v>
      </c>
      <c r="D55" s="4">
        <v>-889768</v>
      </c>
      <c r="E55" s="10">
        <v>-1503771</v>
      </c>
    </row>
    <row r="56" spans="1:5" x14ac:dyDescent="0.6">
      <c r="A56" s="9" t="s">
        <v>77</v>
      </c>
      <c r="B56" s="8"/>
      <c r="C56" s="8"/>
      <c r="D56" s="8"/>
      <c r="E56" s="11"/>
    </row>
    <row r="57" spans="1:5" x14ac:dyDescent="0.6">
      <c r="A57" s="9" t="s">
        <v>78</v>
      </c>
      <c r="B57" s="8">
        <v>57</v>
      </c>
      <c r="C57" s="8">
        <v>200</v>
      </c>
      <c r="D57" s="8">
        <v>222</v>
      </c>
      <c r="E57" s="11">
        <v>448</v>
      </c>
    </row>
    <row r="58" spans="1:5" x14ac:dyDescent="0.6">
      <c r="A58" s="7" t="s">
        <v>79</v>
      </c>
      <c r="B58" s="18">
        <v>57</v>
      </c>
      <c r="C58" s="18">
        <v>200</v>
      </c>
      <c r="D58" s="18">
        <v>222</v>
      </c>
      <c r="E58" s="19">
        <v>448</v>
      </c>
    </row>
  </sheetData>
  <mergeCells count="3">
    <mergeCell ref="A6:A7"/>
    <mergeCell ref="B6:C6"/>
    <mergeCell ref="D6:E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부문별</vt:lpstr>
      <vt:lpstr>포괄손익계산서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2026-06-04T13:10:38Z</dcterms:modified>
</cp:coreProperties>
</file>