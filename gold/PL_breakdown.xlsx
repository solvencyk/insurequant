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B0ED9CD2-D923-4187-9FE8-075196420B30}" xr6:coauthVersionLast="47" xr6:coauthVersionMax="47" xr10:uidLastSave="{00000000-0000-0000-0000-000000000000}"/>
  <bookViews>
    <workbookView xWindow="-83" yWindow="0" windowWidth="10965" windowHeight="13223" xr2:uid="{EF023456-1E6E-48C8-BA7F-B910CEC4CBB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H15" i="1"/>
  <c r="H13" i="1"/>
  <c r="E12" i="1"/>
  <c r="E13" i="1" s="1"/>
  <c r="E14" i="1" s="1"/>
  <c r="E15" i="1" s="1"/>
  <c r="E16" i="1" s="1"/>
  <c r="E17" i="1" s="1"/>
  <c r="E18" i="1" s="1"/>
  <c r="H11" i="1"/>
  <c r="H12" i="1" s="1"/>
  <c r="H10" i="1"/>
  <c r="H2" i="1" s="1"/>
  <c r="H14" i="1" s="1"/>
  <c r="H16" i="1" s="1"/>
  <c r="H18" i="1" s="1"/>
  <c r="H9" i="1"/>
  <c r="H8" i="1"/>
  <c r="H7" i="1"/>
  <c r="H5" i="1"/>
  <c r="H6" i="1" s="1"/>
  <c r="H4" i="1"/>
  <c r="H3" i="1"/>
  <c r="E3" i="1"/>
  <c r="E4" i="1" s="1"/>
  <c r="E5" i="1" s="1"/>
  <c r="E6" i="1" s="1"/>
  <c r="E7" i="1" s="1"/>
  <c r="E8" i="1" s="1"/>
</calcChain>
</file>

<file path=xl/sharedStrings.xml><?xml version="1.0" encoding="utf-8"?>
<sst xmlns="http://schemas.openxmlformats.org/spreadsheetml/2006/main" count="178" uniqueCount="36">
  <si>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</si>
  <si>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</si>
  <si>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</si>
  <si>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</si>
  <si>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</si>
  <si>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</si>
  <si>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</si>
  <si>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</si>
  <si>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KR0001</t>
  </si>
  <si>
    <t>손해보험</t>
  </si>
  <si>
    <t>장기 손익</t>
  </si>
  <si>
    <t>CSM상각</t>
  </si>
  <si>
    <t>RA(위험조정변동)</t>
  </si>
  <si>
    <t>예실차 등</t>
  </si>
  <si>
    <t>자동차손익</t>
  </si>
  <si>
    <t>일반손익</t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</si>
  <si>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</si>
  <si>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</si>
  <si>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</si>
  <si>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</si>
  <si>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</si>
  <si>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</si>
  <si>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</si>
  <si>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보험손익</t>
    <phoneticPr fontId="1" type="noConversion"/>
  </si>
  <si>
    <t>투자손익</t>
    <phoneticPr fontId="1" type="noConversion"/>
  </si>
  <si>
    <t>KR0008</t>
    <phoneticPr fontId="1" type="noConversion"/>
  </si>
  <si>
    <t>삼성화재</t>
    <phoneticPr fontId="1" type="noConversion"/>
  </si>
  <si>
    <t>2025.4Q</t>
    <phoneticPr fontId="1" type="noConversion"/>
  </si>
  <si>
    <t>기타영업수익</t>
    <phoneticPr fontId="1" type="noConversion"/>
  </si>
  <si>
    <t>기타사업비용</t>
    <phoneticPr fontId="1" type="noConversion"/>
  </si>
  <si>
    <t>메리츠화재</t>
  </si>
  <si>
    <t>보험손익</t>
  </si>
  <si>
    <t>2025.4Q</t>
  </si>
  <si>
    <t>기타영업수익</t>
  </si>
  <si>
    <t>기타사업비용</t>
  </si>
  <si>
    <t>투자손익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</si>
</sst>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gwook.cho\Desktop\insurequant\&#48372;&#54744;&#49552;&#51061;%20breakdown.xlsx" TargetMode="External"/><Relationship Id="rId1" Type="http://schemas.openxmlformats.org/officeDocument/2006/relationships/externalLinkPath" Target="&#48372;&#54744;&#49552;&#51061;%20breakd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포괄손익계산서"/>
      <sheetName val="보험손익"/>
      <sheetName val="보험금융비용"/>
    </sheetNames>
    <sheetDataSet>
      <sheetData sheetId="0" refreshError="1"/>
      <sheetData sheetId="1">
        <row r="6">
          <cell r="B6">
            <v>16727913766</v>
          </cell>
        </row>
        <row r="10">
          <cell r="B10">
            <v>206607230622</v>
          </cell>
        </row>
        <row r="11">
          <cell r="B11">
            <v>1176108913616</v>
          </cell>
        </row>
        <row r="13">
          <cell r="B13">
            <v>232479113442</v>
          </cell>
        </row>
        <row r="14">
          <cell r="B14">
            <v>133093397814</v>
          </cell>
        </row>
        <row r="25">
          <cell r="B25">
            <v>1545762706264</v>
          </cell>
        </row>
        <row r="26">
          <cell r="B26">
            <v>80918985913</v>
          </cell>
        </row>
        <row r="37">
          <cell r="B37">
            <v>148071219768</v>
          </cell>
        </row>
        <row r="38">
          <cell r="B38">
            <v>23904323458</v>
          </cell>
        </row>
        <row r="40">
          <cell r="B40">
            <v>763022766199</v>
          </cell>
        </row>
      </sheetData>
      <sheetData sheetId="2">
        <row r="2">
          <cell r="E2">
            <v>6639295</v>
          </cell>
          <cell r="F2">
            <v>0</v>
          </cell>
          <cell r="G2">
            <v>0</v>
          </cell>
        </row>
        <row r="3">
          <cell r="E3">
            <v>198039</v>
          </cell>
          <cell r="F3">
            <v>0</v>
          </cell>
          <cell r="G3">
            <v>0</v>
          </cell>
        </row>
        <row r="4">
          <cell r="E4">
            <v>1620781</v>
          </cell>
          <cell r="F4">
            <v>0</v>
          </cell>
          <cell r="G4">
            <v>0</v>
          </cell>
        </row>
        <row r="5">
          <cell r="E5">
            <v>1628566</v>
          </cell>
          <cell r="F5">
            <v>0</v>
          </cell>
          <cell r="G5">
            <v>0</v>
          </cell>
        </row>
        <row r="6">
          <cell r="E6">
            <v>-62064</v>
          </cell>
          <cell r="F6">
            <v>0</v>
          </cell>
          <cell r="G6">
            <v>0</v>
          </cell>
        </row>
        <row r="7">
          <cell r="E7">
            <v>0</v>
          </cell>
          <cell r="F7">
            <v>5565082</v>
          </cell>
          <cell r="G7">
            <v>3050283</v>
          </cell>
        </row>
        <row r="8">
          <cell r="E8">
            <v>6871385</v>
          </cell>
          <cell r="F8">
            <v>5428861</v>
          </cell>
          <cell r="G8">
            <v>1931162</v>
          </cell>
        </row>
        <row r="9">
          <cell r="E9">
            <v>-125931</v>
          </cell>
          <cell r="F9">
            <v>-155206</v>
          </cell>
          <cell r="G9">
            <v>294111</v>
          </cell>
        </row>
        <row r="10">
          <cell r="E10">
            <v>-14481</v>
          </cell>
          <cell r="F10">
            <v>0</v>
          </cell>
          <cell r="G10">
            <v>-1771</v>
          </cell>
        </row>
        <row r="11">
          <cell r="E11">
            <v>1628566</v>
          </cell>
          <cell r="F11">
            <v>413459</v>
          </cell>
          <cell r="G11">
            <v>235120</v>
          </cell>
        </row>
        <row r="12">
          <cell r="E12">
            <v>232463</v>
          </cell>
          <cell r="F12">
            <v>0</v>
          </cell>
          <cell r="G12">
            <v>0</v>
          </cell>
        </row>
        <row r="13">
          <cell r="E13">
            <v>6164</v>
          </cell>
          <cell r="F13">
            <v>0</v>
          </cell>
          <cell r="G13">
            <v>0</v>
          </cell>
        </row>
        <row r="14">
          <cell r="E14">
            <v>46979</v>
          </cell>
          <cell r="F14">
            <v>0</v>
          </cell>
          <cell r="G14">
            <v>0</v>
          </cell>
        </row>
        <row r="15">
          <cell r="E15">
            <v>-54108</v>
          </cell>
          <cell r="F15">
            <v>0</v>
          </cell>
          <cell r="G15">
            <v>0</v>
          </cell>
        </row>
        <row r="16">
          <cell r="E16">
            <v>853</v>
          </cell>
          <cell r="F16">
            <v>0</v>
          </cell>
          <cell r="G16">
            <v>1102759</v>
          </cell>
        </row>
        <row r="17">
          <cell r="E17">
            <v>195352</v>
          </cell>
          <cell r="F17">
            <v>-3</v>
          </cell>
          <cell r="G17">
            <v>507684</v>
          </cell>
        </row>
        <row r="18">
          <cell r="E18">
            <v>-12675</v>
          </cell>
          <cell r="F18">
            <v>313</v>
          </cell>
          <cell r="G18">
            <v>183740</v>
          </cell>
        </row>
        <row r="19">
          <cell r="E19">
            <v>-333</v>
          </cell>
          <cell r="F19">
            <v>0</v>
          </cell>
          <cell r="G19">
            <v>-762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05D9-7AE7-4005-B411-7CDF5042286F}">
  <dimension ref="A1:H35"/>
  <sheetViews>
    <sheetView tabSelected="1" workbookViewId="0">
      <selection activeCell="G11" sqref="G11"/>
    </sheetView>
  </sheetViews>
  <sheetFormatPr defaultRowHeight="16.899999999999999" x14ac:dyDescent="0.6"/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s="1" t="s">
        <v>25</v>
      </c>
      <c r="B2" s="1" t="s">
        <v>26</v>
      </c>
      <c r="C2" s="1"/>
      <c r="D2" s="1" t="s">
        <v>9</v>
      </c>
      <c r="E2" s="1">
        <v>1</v>
      </c>
      <c r="F2" t="s">
        <v>23</v>
      </c>
      <c r="G2" s="1" t="s">
        <v>27</v>
      </c>
      <c r="H2" s="2">
        <f>H3+H7+H8+H9-H10</f>
        <v>1483033.6831439999</v>
      </c>
    </row>
    <row r="3" spans="1:8" x14ac:dyDescent="0.6">
      <c r="A3" s="1" t="s">
        <v>25</v>
      </c>
      <c r="B3" s="1" t="s">
        <v>26</v>
      </c>
      <c r="C3" s="1"/>
      <c r="D3" s="1" t="s">
        <v>9</v>
      </c>
      <c r="E3">
        <f>E2+1</f>
        <v>2</v>
      </c>
      <c r="F3" t="s">
        <v>10</v>
      </c>
      <c r="G3" t="s">
        <v>27</v>
      </c>
      <c r="H3" s="2">
        <f>SUM([1]보험손익!E2:E7,[1]보험손익!E17:E19)-SUM([1]보험손익!E8:E16)</f>
        <v>1615071</v>
      </c>
    </row>
    <row r="4" spans="1:8" x14ac:dyDescent="0.6">
      <c r="A4" s="1" t="s">
        <v>25</v>
      </c>
      <c r="B4" s="1" t="s">
        <v>26</v>
      </c>
      <c r="C4" s="1"/>
      <c r="D4" s="1" t="s">
        <v>9</v>
      </c>
      <c r="E4">
        <f>E3+1</f>
        <v>3</v>
      </c>
      <c r="F4" t="s">
        <v>11</v>
      </c>
      <c r="G4" t="s">
        <v>27</v>
      </c>
      <c r="H4" s="2">
        <f>[1]보험손익!E4</f>
        <v>1620781</v>
      </c>
    </row>
    <row r="5" spans="1:8" x14ac:dyDescent="0.6">
      <c r="A5" s="1" t="s">
        <v>25</v>
      </c>
      <c r="B5" s="1" t="s">
        <v>26</v>
      </c>
      <c r="C5" s="1"/>
      <c r="D5" s="1" t="s">
        <v>9</v>
      </c>
      <c r="E5">
        <f>E4+1</f>
        <v>4</v>
      </c>
      <c r="F5" t="s">
        <v>12</v>
      </c>
      <c r="G5" t="s">
        <v>27</v>
      </c>
      <c r="H5" s="2">
        <f>[1]보험손익!E3</f>
        <v>198039</v>
      </c>
    </row>
    <row r="6" spans="1:8" x14ac:dyDescent="0.6">
      <c r="A6" s="1" t="s">
        <v>25</v>
      </c>
      <c r="B6" s="1" t="s">
        <v>26</v>
      </c>
      <c r="C6" s="1"/>
      <c r="D6" s="1" t="s">
        <v>9</v>
      </c>
      <c r="E6">
        <f>E5+1</f>
        <v>5</v>
      </c>
      <c r="F6" t="s">
        <v>13</v>
      </c>
      <c r="G6" t="s">
        <v>27</v>
      </c>
      <c r="H6" s="2">
        <f>H3-SUM(H4:H5)</f>
        <v>-203749</v>
      </c>
    </row>
    <row r="7" spans="1:8" x14ac:dyDescent="0.6">
      <c r="A7" s="1" t="s">
        <v>25</v>
      </c>
      <c r="B7" s="1" t="s">
        <v>26</v>
      </c>
      <c r="C7" s="1"/>
      <c r="D7" s="1" t="s">
        <v>9</v>
      </c>
      <c r="E7">
        <f>E6+1</f>
        <v>6</v>
      </c>
      <c r="F7" t="s">
        <v>14</v>
      </c>
      <c r="G7" t="s">
        <v>27</v>
      </c>
      <c r="H7" s="2">
        <f>SUM([1]보험손익!F2:F7,[1]보험손익!F17:F19)-SUM([1]보험손익!F8:F16)</f>
        <v>-121722</v>
      </c>
    </row>
    <row r="8" spans="1:8" x14ac:dyDescent="0.6">
      <c r="A8" s="1" t="s">
        <v>25</v>
      </c>
      <c r="B8" s="1" t="s">
        <v>26</v>
      </c>
      <c r="C8" s="1"/>
      <c r="D8" s="1" t="s">
        <v>9</v>
      </c>
      <c r="E8">
        <f>E7+1</f>
        <v>7</v>
      </c>
      <c r="F8" t="s">
        <v>15</v>
      </c>
      <c r="G8" t="s">
        <v>27</v>
      </c>
      <c r="H8" s="2">
        <f>SUM([1]보험손익!G2:G7,[1]보험손익!G17:G19)-SUM([1]보험손익!G8:G16)</f>
        <v>179564</v>
      </c>
    </row>
    <row r="9" spans="1:8" x14ac:dyDescent="0.6">
      <c r="A9" s="1" t="s">
        <v>25</v>
      </c>
      <c r="B9" s="1" t="s">
        <v>26</v>
      </c>
      <c r="C9" s="1"/>
      <c r="D9" s="1" t="s">
        <v>9</v>
      </c>
      <c r="E9">
        <v>8</v>
      </c>
      <c r="F9" t="s">
        <v>28</v>
      </c>
      <c r="G9" t="s">
        <v>27</v>
      </c>
      <c r="H9" s="2">
        <f>[1]포괄손익계산서!B6/1000000</f>
        <v>16727.913766000001</v>
      </c>
    </row>
    <row r="10" spans="1:8" x14ac:dyDescent="0.6">
      <c r="A10" s="1" t="s">
        <v>25</v>
      </c>
      <c r="B10" s="1" t="s">
        <v>26</v>
      </c>
      <c r="C10" s="1"/>
      <c r="D10" s="1" t="s">
        <v>9</v>
      </c>
      <c r="E10">
        <v>9</v>
      </c>
      <c r="F10" t="s">
        <v>29</v>
      </c>
      <c r="G10" t="s">
        <v>27</v>
      </c>
      <c r="H10" s="2">
        <f>[1]포괄손익계산서!B10/1000000</f>
        <v>206607.230622</v>
      </c>
    </row>
    <row r="11" spans="1:8" x14ac:dyDescent="0.6">
      <c r="A11" s="1" t="s">
        <v>25</v>
      </c>
      <c r="B11" s="1" t="s">
        <v>26</v>
      </c>
      <c r="C11" s="1"/>
      <c r="D11" s="1" t="s">
        <v>9</v>
      </c>
      <c r="E11">
        <v>10</v>
      </c>
      <c r="F11" t="s">
        <v>24</v>
      </c>
      <c r="G11" t="s">
        <v>27</v>
      </c>
      <c r="H11" s="2">
        <f>[1]포괄손익계산서!B11/1000000</f>
        <v>1176108.913616</v>
      </c>
    </row>
    <row r="12" spans="1:8" x14ac:dyDescent="0.6">
      <c r="A12" s="1" t="s">
        <v>25</v>
      </c>
      <c r="B12" s="1" t="s">
        <v>26</v>
      </c>
      <c r="C12" s="1"/>
      <c r="D12" s="1" t="s">
        <v>9</v>
      </c>
      <c r="E12">
        <f>E11+1</f>
        <v>11</v>
      </c>
      <c r="F12" t="s">
        <v>16</v>
      </c>
      <c r="G12" t="s">
        <v>27</v>
      </c>
      <c r="H12" s="2">
        <f>H11-H13</f>
        <v>2437218.0945370002</v>
      </c>
    </row>
    <row r="13" spans="1:8" x14ac:dyDescent="0.6">
      <c r="A13" s="1" t="s">
        <v>25</v>
      </c>
      <c r="B13" s="1" t="s">
        <v>26</v>
      </c>
      <c r="C13" s="1"/>
      <c r="D13" s="1" t="s">
        <v>9</v>
      </c>
      <c r="E13">
        <f>E12+1</f>
        <v>12</v>
      </c>
      <c r="F13" t="s">
        <v>17</v>
      </c>
      <c r="G13" t="s">
        <v>27</v>
      </c>
      <c r="H13" s="2">
        <f>([1]포괄손익계산서!B13+[1]포괄손익계산서!B14-[1]포괄손익계산서!B25-[1]포괄손익계산서!B26)/1000000</f>
        <v>-1261109.180921</v>
      </c>
    </row>
    <row r="14" spans="1:8" x14ac:dyDescent="0.6">
      <c r="A14" s="1" t="s">
        <v>25</v>
      </c>
      <c r="B14" s="1" t="s">
        <v>26</v>
      </c>
      <c r="C14" s="1"/>
      <c r="D14" s="1" t="s">
        <v>9</v>
      </c>
      <c r="E14">
        <f>E13+1</f>
        <v>13</v>
      </c>
      <c r="F14" t="s">
        <v>18</v>
      </c>
      <c r="G14" t="s">
        <v>27</v>
      </c>
      <c r="H14" s="2">
        <f>H2+H11</f>
        <v>2659142.5967600001</v>
      </c>
    </row>
    <row r="15" spans="1:8" x14ac:dyDescent="0.6">
      <c r="A15" s="1" t="s">
        <v>25</v>
      </c>
      <c r="B15" s="1" t="s">
        <v>26</v>
      </c>
      <c r="C15" s="1"/>
      <c r="D15" s="1" t="s">
        <v>9</v>
      </c>
      <c r="E15">
        <f>E14+1</f>
        <v>14</v>
      </c>
      <c r="F15" t="s">
        <v>19</v>
      </c>
      <c r="G15" t="s">
        <v>27</v>
      </c>
      <c r="H15" s="2">
        <f>([1]포괄손익계산서!B37-[1]포괄손익계산서!B38)/1000000</f>
        <v>124166.89631</v>
      </c>
    </row>
    <row r="16" spans="1:8" x14ac:dyDescent="0.6">
      <c r="A16" s="1" t="s">
        <v>25</v>
      </c>
      <c r="B16" s="1" t="s">
        <v>26</v>
      </c>
      <c r="C16" s="1"/>
      <c r="D16" s="1" t="s">
        <v>9</v>
      </c>
      <c r="E16">
        <f>E15+1</f>
        <v>15</v>
      </c>
      <c r="F16" t="s">
        <v>20</v>
      </c>
      <c r="G16" t="s">
        <v>27</v>
      </c>
      <c r="H16" s="2">
        <f>H14+H15</f>
        <v>2783309.4930700003</v>
      </c>
    </row>
    <row r="17" spans="1:8" x14ac:dyDescent="0.6">
      <c r="A17" s="1" t="s">
        <v>25</v>
      </c>
      <c r="B17" s="1" t="s">
        <v>26</v>
      </c>
      <c r="C17" s="1"/>
      <c r="D17" s="1" t="s">
        <v>9</v>
      </c>
      <c r="E17">
        <f>E16+1</f>
        <v>16</v>
      </c>
      <c r="F17" t="s">
        <v>21</v>
      </c>
      <c r="G17" t="s">
        <v>27</v>
      </c>
      <c r="H17" s="2">
        <f>[1]포괄손익계산서!B40/1000000</f>
        <v>763022.76619899995</v>
      </c>
    </row>
    <row r="18" spans="1:8" x14ac:dyDescent="0.6">
      <c r="A18" s="1" t="s">
        <v>25</v>
      </c>
      <c r="B18" s="1" t="s">
        <v>26</v>
      </c>
      <c r="C18" s="1"/>
      <c r="D18" s="1" t="s">
        <v>9</v>
      </c>
      <c r="E18">
        <f>E17+1</f>
        <v>17</v>
      </c>
      <c r="F18" t="s">
        <v>22</v>
      </c>
      <c r="G18" t="s">
        <v>27</v>
      </c>
      <c r="H18" s="2">
        <f>H16-H17</f>
        <v>2020286.7268710004</v>
      </c>
    </row>
    <row r="19" spans="1:8" x14ac:dyDescent="0.6">
      <c r="A19" t="s">
        <v>8</v>
      </c>
      <c r="B19" t="s">
        <v>30</v>
      </c>
      <c r="D19" t="s">
        <v>9</v>
      </c>
      <c r="E19">
        <v>1</v>
      </c>
      <c r="F19" t="s">
        <v>31</v>
      </c>
      <c r="G19" t="s">
        <v>32</v>
      </c>
      <c r="H19">
        <v>1426994.9196349999</v>
      </c>
    </row>
    <row r="20" spans="1:8" x14ac:dyDescent="0.6">
      <c r="A20" t="s">
        <v>8</v>
      </c>
      <c r="B20" t="s">
        <v>30</v>
      </c>
      <c r="D20" t="s">
        <v>9</v>
      </c>
      <c r="E20">
        <v>2</v>
      </c>
      <c r="F20" t="s">
        <v>10</v>
      </c>
      <c r="G20" t="s">
        <v>32</v>
      </c>
      <c r="H20">
        <v>1573297</v>
      </c>
    </row>
    <row r="21" spans="1:8" x14ac:dyDescent="0.6">
      <c r="A21" t="s">
        <v>8</v>
      </c>
      <c r="B21" t="s">
        <v>30</v>
      </c>
      <c r="D21" t="s">
        <v>9</v>
      </c>
      <c r="E21">
        <v>3</v>
      </c>
      <c r="F21" t="s">
        <v>11</v>
      </c>
      <c r="G21" t="s">
        <v>32</v>
      </c>
      <c r="H21">
        <v>1167264</v>
      </c>
    </row>
    <row r="22" spans="1:8" x14ac:dyDescent="0.6">
      <c r="A22" t="s">
        <v>8</v>
      </c>
      <c r="B22" t="s">
        <v>30</v>
      </c>
      <c r="D22" t="s">
        <v>9</v>
      </c>
      <c r="E22">
        <v>4</v>
      </c>
      <c r="F22" t="s">
        <v>12</v>
      </c>
      <c r="G22" t="s">
        <v>32</v>
      </c>
      <c r="H22">
        <v>181943</v>
      </c>
    </row>
    <row r="23" spans="1:8" x14ac:dyDescent="0.6">
      <c r="A23" t="s">
        <v>8</v>
      </c>
      <c r="B23" t="s">
        <v>30</v>
      </c>
      <c r="D23" t="s">
        <v>9</v>
      </c>
      <c r="E23">
        <v>5</v>
      </c>
      <c r="F23" t="s">
        <v>13</v>
      </c>
      <c r="G23" t="s">
        <v>32</v>
      </c>
      <c r="H23">
        <v>224090</v>
      </c>
    </row>
    <row r="24" spans="1:8" x14ac:dyDescent="0.6">
      <c r="A24" t="s">
        <v>8</v>
      </c>
      <c r="B24" t="s">
        <v>30</v>
      </c>
      <c r="D24" t="s">
        <v>9</v>
      </c>
      <c r="E24">
        <v>6</v>
      </c>
      <c r="F24" t="s">
        <v>14</v>
      </c>
      <c r="G24" t="s">
        <v>32</v>
      </c>
      <c r="H24">
        <v>-46324</v>
      </c>
    </row>
    <row r="25" spans="1:8" x14ac:dyDescent="0.6">
      <c r="A25" t="s">
        <v>8</v>
      </c>
      <c r="B25" t="s">
        <v>30</v>
      </c>
      <c r="D25" t="s">
        <v>9</v>
      </c>
      <c r="E25">
        <v>7</v>
      </c>
      <c r="F25" t="s">
        <v>15</v>
      </c>
      <c r="G25" t="s">
        <v>32</v>
      </c>
      <c r="H25">
        <v>33482</v>
      </c>
    </row>
    <row r="26" spans="1:8" x14ac:dyDescent="0.6">
      <c r="A26" t="s">
        <v>8</v>
      </c>
      <c r="B26" t="s">
        <v>30</v>
      </c>
      <c r="D26" t="s">
        <v>9</v>
      </c>
      <c r="E26">
        <v>8</v>
      </c>
      <c r="F26" t="s">
        <v>33</v>
      </c>
      <c r="G26" t="s">
        <v>32</v>
      </c>
      <c r="H26">
        <v>0</v>
      </c>
    </row>
    <row r="27" spans="1:8" x14ac:dyDescent="0.6">
      <c r="A27" t="s">
        <v>8</v>
      </c>
      <c r="B27" t="s">
        <v>30</v>
      </c>
      <c r="D27" t="s">
        <v>9</v>
      </c>
      <c r="E27">
        <v>9</v>
      </c>
      <c r="F27" t="s">
        <v>34</v>
      </c>
      <c r="G27" t="s">
        <v>32</v>
      </c>
      <c r="H27">
        <v>133460.080365</v>
      </c>
    </row>
    <row r="28" spans="1:8" x14ac:dyDescent="0.6">
      <c r="A28" t="s">
        <v>8</v>
      </c>
      <c r="B28" t="s">
        <v>30</v>
      </c>
      <c r="D28" t="s">
        <v>9</v>
      </c>
      <c r="E28">
        <v>10</v>
      </c>
      <c r="F28" t="s">
        <v>35</v>
      </c>
      <c r="G28" t="s">
        <v>32</v>
      </c>
      <c r="H28">
        <v>859525.27037399996</v>
      </c>
    </row>
    <row r="29" spans="1:8" x14ac:dyDescent="0.6">
      <c r="A29" t="s">
        <v>8</v>
      </c>
      <c r="B29" t="s">
        <v>30</v>
      </c>
      <c r="D29" t="s">
        <v>9</v>
      </c>
      <c r="E29">
        <v>11</v>
      </c>
      <c r="F29" t="s">
        <v>16</v>
      </c>
      <c r="G29" t="s">
        <v>32</v>
      </c>
      <c r="H29">
        <v>1501195.571919</v>
      </c>
    </row>
    <row r="30" spans="1:8" x14ac:dyDescent="0.6">
      <c r="A30" t="s">
        <v>8</v>
      </c>
      <c r="B30" t="s">
        <v>30</v>
      </c>
      <c r="D30" t="s">
        <v>9</v>
      </c>
      <c r="E30">
        <v>12</v>
      </c>
      <c r="F30" t="s">
        <v>17</v>
      </c>
      <c r="G30" t="s">
        <v>32</v>
      </c>
      <c r="H30">
        <v>-641670.30154500005</v>
      </c>
    </row>
    <row r="31" spans="1:8" x14ac:dyDescent="0.6">
      <c r="A31" t="s">
        <v>8</v>
      </c>
      <c r="B31" t="s">
        <v>30</v>
      </c>
      <c r="D31" t="s">
        <v>9</v>
      </c>
      <c r="E31">
        <v>13</v>
      </c>
      <c r="F31" t="s">
        <v>18</v>
      </c>
      <c r="G31" t="s">
        <v>32</v>
      </c>
      <c r="H31">
        <v>2286520.1900089998</v>
      </c>
    </row>
    <row r="32" spans="1:8" x14ac:dyDescent="0.6">
      <c r="A32" t="s">
        <v>8</v>
      </c>
      <c r="B32" t="s">
        <v>30</v>
      </c>
      <c r="D32" t="s">
        <v>9</v>
      </c>
      <c r="E32">
        <v>14</v>
      </c>
      <c r="F32" t="s">
        <v>19</v>
      </c>
      <c r="G32" t="s">
        <v>32</v>
      </c>
      <c r="H32">
        <v>23476.183976</v>
      </c>
    </row>
    <row r="33" spans="1:8" x14ac:dyDescent="0.6">
      <c r="A33" t="s">
        <v>8</v>
      </c>
      <c r="B33" t="s">
        <v>30</v>
      </c>
      <c r="D33" t="s">
        <v>9</v>
      </c>
      <c r="E33">
        <v>15</v>
      </c>
      <c r="F33" t="s">
        <v>20</v>
      </c>
      <c r="G33" t="s">
        <v>32</v>
      </c>
      <c r="H33">
        <v>2309996.373985</v>
      </c>
    </row>
    <row r="34" spans="1:8" x14ac:dyDescent="0.6">
      <c r="A34" t="s">
        <v>8</v>
      </c>
      <c r="B34" t="s">
        <v>30</v>
      </c>
      <c r="D34" t="s">
        <v>9</v>
      </c>
      <c r="E34">
        <v>16</v>
      </c>
      <c r="F34" t="s">
        <v>21</v>
      </c>
      <c r="G34" t="s">
        <v>32</v>
      </c>
      <c r="H34">
        <v>617129.28963699995</v>
      </c>
    </row>
    <row r="35" spans="1:8" x14ac:dyDescent="0.6">
      <c r="A35" t="s">
        <v>8</v>
      </c>
      <c r="B35" t="s">
        <v>30</v>
      </c>
      <c r="D35" t="s">
        <v>9</v>
      </c>
      <c r="E35">
        <v>17</v>
      </c>
      <c r="F35" t="s">
        <v>22</v>
      </c>
      <c r="G35" t="s">
        <v>32</v>
      </c>
      <c r="H35">
        <v>1692867.0843480001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2026-06-01T11:48:44Z</dcterms:created>
  <dcterms:modified xsi:type="dcterms:W3CDTF">2026-06-01T13:36:00Z</dcterms:modified>
</cp:coreProperties>
</file>