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FB65E3F0-1375-4F23-B6B5-54306FB590B1}" xr6:coauthVersionLast="47" xr6:coauthVersionMax="47" xr10:uidLastSave="{00000000-0000-0000-0000-000000000000}"/>
  <bookViews>
    <workbookView xWindow="-98" yWindow="-98" windowWidth="21795" windowHeight="13335" xr2:uid="{B186C083-72FA-4707-BBE5-A56EC0A2D05F}"/>
  </bookViews>
  <sheets>
    <sheet name="Sheet1" sheetId="4" r:id="rId1"/>
    <sheet name="보험손익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" i="4" l="1"/>
  <c r="H14" i="4"/>
  <c r="H12" i="4"/>
  <c r="H11" i="4"/>
  <c r="H10" i="4"/>
  <c r="H9" i="4"/>
  <c r="H7" i="4"/>
  <c r="H6" i="4"/>
  <c r="H5" i="4"/>
  <c r="H4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2" i="4" s="1"/>
  <c r="H8" i="4"/>
  <c r="E3" i="4"/>
  <c r="E4" i="4" s="1"/>
  <c r="E5" i="4" s="1"/>
  <c r="E6" i="4" s="1"/>
  <c r="E7" i="4" s="1"/>
</calcChain>
</file>

<file path=xl/sharedStrings.xml><?xml version="1.0" encoding="utf-8"?>
<sst xmlns="http://schemas.openxmlformats.org/spreadsheetml/2006/main" count="249" uniqueCount="80">
  <si>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</si>
  <si>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</si>
  <si>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</si>
  <si>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</si>
  <si>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</si>
  <si>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</si>
  <si>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</si>
  <si>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</si>
  <si>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</si>
  <si>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</si>
  <si>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</si>
  <si>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</si>
  <si>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</si>
  <si>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</si>
  <si>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</si>
  <si>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</si>
  <si>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</si>
  <si>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</si>
  <si>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</si>
  <si>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</si>
  <si>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</si>
  <si>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</si>
  <si>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</si>
  <si>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</si>
  <si>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</si>
  <si>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</si>
  <si>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</si>
  <si>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</si>
  <si>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</si>
  <si>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</si>
  <si>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</si>
  <si>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</si>
  <si>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</si>
  <si>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</si>
  <si>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</si>
  <si>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장기</t>
  </si>
  <si>
    <t>일반</t>
  </si>
  <si>
    <t>자동차</t>
  </si>
  <si>
    <t>보험수익</t>
  </si>
  <si>
    <t>보험비용</t>
  </si>
  <si>
    <t>총 보험비용</t>
  </si>
  <si>
    <t>재보험수익</t>
  </si>
  <si>
    <t>총 재보험수익</t>
  </si>
  <si>
    <t>재보험비용</t>
  </si>
  <si>
    <t>총 재보험비용</t>
  </si>
  <si>
    <t>롯데손보</t>
    <phoneticPr fontId="2" type="noConversion"/>
  </si>
  <si>
    <t>KR0003</t>
    <phoneticPr fontId="2" type="noConversion"/>
  </si>
  <si>
    <t>25. 보험손익</t>
  </si>
  <si>
    <t>발행보험의 보험수익 분석 공시, 보험료배분접근법을 적용한 보험계약 외의 보험계약</t>
  </si>
  <si>
    <t>당분기</t>
  </si>
  <si>
    <t>(단위 : 백만원)</t>
  </si>
  <si>
    <t>보험계약의 세분</t>
  </si>
  <si>
    <t>발행한 보험계약</t>
  </si>
  <si>
    <t>보험계약</t>
  </si>
  <si>
    <t>보험료배분접근법을 적용한 보험계약 외의 보험계약</t>
  </si>
  <si>
    <t>계약의 유형</t>
  </si>
  <si>
    <t>계약의 유형  합계</t>
  </si>
  <si>
    <t>예상보험금 및 예상기타보험서비스비용</t>
  </si>
  <si>
    <t>위험조정 변동</t>
  </si>
  <si>
    <t>보험계약마진 상각</t>
  </si>
  <si>
    <t>보험취득현금흐름 상각</t>
  </si>
  <si>
    <t>발행보험의 보험수익 분석 공시, 보험료배분접근법을 적용한 보험계약</t>
  </si>
  <si>
    <t>보험료배분접근법을 적용한 보험계약</t>
  </si>
  <si>
    <t>발행보험의 보험수익 분석 공시, 합계</t>
  </si>
  <si>
    <t>총 보험수익</t>
  </si>
  <si>
    <t>발행보험의 보험서비스비용 분석 공시</t>
  </si>
  <si>
    <t>발생보험금 및 기타서비스비용</t>
  </si>
  <si>
    <t>손실부담계약관련비용(환입)</t>
  </si>
  <si>
    <t>발생사고요소조정</t>
  </si>
  <si>
    <t>26. 재보험손익</t>
  </si>
  <si>
    <t>재보험수익 분석 공시</t>
  </si>
  <si>
    <t>보유 재보험계약</t>
  </si>
  <si>
    <t>발생보험금 및 기타재보험수익</t>
  </si>
  <si>
    <t>손실회수요소 관련 수익</t>
  </si>
  <si>
    <t>재보험비용 분석 공시, 보험료배분접근법을 적용한 보험계약 외의 보험계약</t>
  </si>
  <si>
    <t>회수예상 보험금 및 기타보험서비스비용</t>
  </si>
  <si>
    <t>재보험비용 분석 공시, 보험료배분접근법을 적용한 보험계약</t>
  </si>
  <si>
    <t>재보험비용 분석 공시, 합계</t>
  </si>
  <si>
    <t>보험계약의 유형</t>
  </si>
  <si>
    <t>2026.1Q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</si>
</sst>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K25"/>
  <sheetViews>
    <sheetView tabSelected="1" workbookViewId="0"/>
  </sheetViews>
  <sheetFormatPr defaultRowHeight="16.899999999999999" x14ac:dyDescent="0.6"/>
  <cols>
    <col min="5" max="5" width="9.1875" bestFit="1" customWidth="1"/>
    <col min="6" max="6" width="20.875" bestFit="1" customWidth="1"/>
    <col min="8" max="8" width="16.625" bestFit="1" customWidth="1"/>
  </cols>
  <sheetData>
    <row r="1" spans="1:11" x14ac:dyDescent="0.6">
      <c r="A1" s="12" t="s">
        <v>21</v>
      </c>
      <c r="B1" s="12" t="s">
        <v>20</v>
      </c>
      <c r="C1" s="12" t="s">
        <v>19</v>
      </c>
      <c r="D1" s="12" t="s">
        <v>18</v>
      </c>
      <c r="E1" s="12" t="s">
        <v>17</v>
      </c>
      <c r="F1" s="12" t="s">
        <v>16</v>
      </c>
      <c r="G1" s="12" t="s">
        <v>0</v>
      </c>
      <c r="H1" s="12" t="s">
        <v>15</v>
      </c>
      <c r="I1" s="12" t="s">
        <v>22</v>
      </c>
    </row>
    <row r="2" spans="1:11" x14ac:dyDescent="0.6">
      <c r="A2" s="12" t="s">
        <v>46</v>
      </c>
      <c r="B2" s="12" t="s">
        <v>45</v>
      </c>
      <c r="C2" s="12"/>
      <c r="D2" s="12" t="s">
        <v>3</v>
      </c>
      <c r="E2" s="12">
        <v>1</v>
      </c>
      <c r="F2" t="s">
        <v>14</v>
      </c>
      <c r="G2" s="12" t="s">
        <v>79</v>
      </c>
      <c r="H2" s="2">
        <f>H3+H14+H15+H16-H17</f>
        <v>27200</v>
      </c>
    </row>
    <row r="3" spans="1:11" x14ac:dyDescent="0.6">
      <c r="A3" s="12" t="s">
        <v>46</v>
      </c>
      <c r="B3" s="12" t="s">
        <v>45</v>
      </c>
      <c r="C3" s="12"/>
      <c r="D3" s="12" t="s">
        <v>3</v>
      </c>
      <c r="E3">
        <f t="shared" ref="E3" si="0">E2+1</f>
        <v>2</v>
      </c>
      <c r="F3" t="s">
        <v>23</v>
      </c>
      <c r="G3" t="s">
        <v>79</v>
      </c>
      <c r="H3" s="2">
        <f>H4+H9</f>
        <v>37418</v>
      </c>
    </row>
    <row r="4" spans="1:11" x14ac:dyDescent="0.6">
      <c r="A4" s="12" t="s">
        <v>46</v>
      </c>
      <c r="B4" s="12" t="s">
        <v>45</v>
      </c>
      <c r="C4" s="12"/>
      <c r="D4" s="12" t="s">
        <v>3</v>
      </c>
      <c r="E4">
        <f t="shared" ref="E4:E7" si="1">E3+1</f>
        <v>3</v>
      </c>
      <c r="F4" t="s">
        <v>24</v>
      </c>
      <c r="G4" t="s">
        <v>79</v>
      </c>
      <c r="H4" s="2">
        <f>보험손익!C18-보험손익!C52</f>
        <v>44524</v>
      </c>
      <c r="I4" s="2"/>
    </row>
    <row r="5" spans="1:11" x14ac:dyDescent="0.6">
      <c r="A5" s="12" t="s">
        <v>46</v>
      </c>
      <c r="B5" s="12" t="s">
        <v>45</v>
      </c>
      <c r="C5" s="12"/>
      <c r="D5" s="12" t="s">
        <v>3</v>
      </c>
      <c r="E5">
        <f t="shared" si="1"/>
        <v>4</v>
      </c>
      <c r="F5" t="s">
        <v>27</v>
      </c>
      <c r="G5" t="s">
        <v>79</v>
      </c>
      <c r="H5" s="2">
        <f>보험손익!C16</f>
        <v>58694</v>
      </c>
    </row>
    <row r="6" spans="1:11" x14ac:dyDescent="0.6">
      <c r="A6" s="12" t="s">
        <v>46</v>
      </c>
      <c r="B6" s="12" t="s">
        <v>45</v>
      </c>
      <c r="C6" s="12"/>
      <c r="D6" s="12" t="s">
        <v>3</v>
      </c>
      <c r="E6">
        <f t="shared" si="1"/>
        <v>5</v>
      </c>
      <c r="F6" t="s">
        <v>28</v>
      </c>
      <c r="G6" t="s">
        <v>79</v>
      </c>
      <c r="H6" s="2">
        <f>보험손익!C15</f>
        <v>8270</v>
      </c>
    </row>
    <row r="7" spans="1:11" x14ac:dyDescent="0.6">
      <c r="A7" s="12" t="s">
        <v>46</v>
      </c>
      <c r="B7" s="12" t="s">
        <v>45</v>
      </c>
      <c r="C7" s="12"/>
      <c r="D7" s="12" t="s">
        <v>3</v>
      </c>
      <c r="E7">
        <f t="shared" si="1"/>
        <v>6</v>
      </c>
      <c r="F7" t="s">
        <v>29</v>
      </c>
      <c r="G7" t="s">
        <v>79</v>
      </c>
      <c r="H7" s="2">
        <f>보험손익!C14-보험손익!C48</f>
        <v>-26864</v>
      </c>
    </row>
    <row r="8" spans="1:11" x14ac:dyDescent="0.6">
      <c r="A8" s="12" t="s">
        <v>46</v>
      </c>
      <c r="B8" s="12" t="s">
        <v>45</v>
      </c>
      <c r="C8" s="12"/>
      <c r="D8" s="12" t="s">
        <v>26</v>
      </c>
      <c r="E8">
        <f t="shared" ref="E8:E25" si="2">E7+1</f>
        <v>7</v>
      </c>
      <c r="F8" t="s">
        <v>30</v>
      </c>
      <c r="G8" t="s">
        <v>79</v>
      </c>
      <c r="H8" s="2">
        <f>H4-SUM(H5:H7)</f>
        <v>4424</v>
      </c>
      <c r="K8" s="2"/>
    </row>
    <row r="9" spans="1:11" x14ac:dyDescent="0.6">
      <c r="A9" s="12" t="s">
        <v>46</v>
      </c>
      <c r="B9" s="12" t="s">
        <v>45</v>
      </c>
      <c r="C9" s="12"/>
      <c r="D9" s="12" t="s">
        <v>26</v>
      </c>
      <c r="E9">
        <f t="shared" si="2"/>
        <v>8</v>
      </c>
      <c r="F9" t="s">
        <v>25</v>
      </c>
      <c r="G9" t="s">
        <v>79</v>
      </c>
      <c r="H9" s="2">
        <f>보험손익!C68-보험손익!C82-보험손익!B93</f>
        <v>-7106</v>
      </c>
      <c r="I9" s="2"/>
      <c r="K9" s="2"/>
    </row>
    <row r="10" spans="1:11" x14ac:dyDescent="0.6">
      <c r="A10" s="12" t="s">
        <v>46</v>
      </c>
      <c r="B10" s="12" t="s">
        <v>45</v>
      </c>
      <c r="C10" s="12"/>
      <c r="D10" s="12" t="s">
        <v>26</v>
      </c>
      <c r="E10">
        <f t="shared" si="2"/>
        <v>9</v>
      </c>
      <c r="F10" t="s">
        <v>31</v>
      </c>
      <c r="G10" t="s">
        <v>79</v>
      </c>
      <c r="H10" s="2">
        <f>-보험손익!C81</f>
        <v>-3352</v>
      </c>
      <c r="K10" s="2"/>
    </row>
    <row r="11" spans="1:11" x14ac:dyDescent="0.6">
      <c r="A11" s="12" t="s">
        <v>46</v>
      </c>
      <c r="B11" s="12" t="s">
        <v>45</v>
      </c>
      <c r="C11" s="12"/>
      <c r="D11" s="12" t="s">
        <v>26</v>
      </c>
      <c r="E11">
        <f t="shared" si="2"/>
        <v>10</v>
      </c>
      <c r="F11" t="s">
        <v>32</v>
      </c>
      <c r="G11" t="s">
        <v>79</v>
      </c>
      <c r="H11" s="2">
        <f>-보험손익!C80</f>
        <v>-601</v>
      </c>
      <c r="K11" s="2"/>
    </row>
    <row r="12" spans="1:11" x14ac:dyDescent="0.6">
      <c r="A12" s="12" t="s">
        <v>46</v>
      </c>
      <c r="B12" s="12" t="s">
        <v>45</v>
      </c>
      <c r="C12" s="12"/>
      <c r="D12" s="12" t="s">
        <v>26</v>
      </c>
      <c r="E12">
        <f t="shared" si="2"/>
        <v>11</v>
      </c>
      <c r="F12" t="s">
        <v>33</v>
      </c>
      <c r="G12" t="s">
        <v>79</v>
      </c>
      <c r="H12" s="2">
        <f>보험손익!D65-보험손익!C79</f>
        <v>-3711</v>
      </c>
      <c r="K12" s="2"/>
    </row>
    <row r="13" spans="1:11" x14ac:dyDescent="0.6">
      <c r="A13" s="12" t="s">
        <v>46</v>
      </c>
      <c r="B13" s="12" t="s">
        <v>45</v>
      </c>
      <c r="C13" s="12"/>
      <c r="D13" s="12" t="s">
        <v>26</v>
      </c>
      <c r="E13">
        <f t="shared" si="2"/>
        <v>12</v>
      </c>
      <c r="F13" t="s">
        <v>34</v>
      </c>
      <c r="G13" t="s">
        <v>79</v>
      </c>
      <c r="H13" s="2">
        <f>H9-SUM(H10:H12)</f>
        <v>558</v>
      </c>
      <c r="K13" s="2"/>
    </row>
    <row r="14" spans="1:11" x14ac:dyDescent="0.6">
      <c r="A14" s="12" t="s">
        <v>46</v>
      </c>
      <c r="B14" s="12" t="s">
        <v>45</v>
      </c>
      <c r="C14" s="12"/>
      <c r="D14" s="12" t="s">
        <v>26</v>
      </c>
      <c r="E14">
        <f t="shared" si="2"/>
        <v>13</v>
      </c>
      <c r="F14" t="s">
        <v>13</v>
      </c>
      <c r="G14" t="s">
        <v>79</v>
      </c>
      <c r="H14" s="2">
        <f>보험손익!E18+보험손익!D29-보험손익!E52-보험손익!E82-보험손익!D93+보험손익!E68</f>
        <v>-5419</v>
      </c>
    </row>
    <row r="15" spans="1:11" x14ac:dyDescent="0.6">
      <c r="A15" s="12" t="s">
        <v>46</v>
      </c>
      <c r="B15" s="12" t="s">
        <v>45</v>
      </c>
      <c r="C15" s="12"/>
      <c r="D15" s="12" t="s">
        <v>3</v>
      </c>
      <c r="E15">
        <f t="shared" si="2"/>
        <v>14</v>
      </c>
      <c r="F15" t="s">
        <v>12</v>
      </c>
      <c r="G15" t="s">
        <v>79</v>
      </c>
      <c r="H15" s="2">
        <f>보험손익!D18+보험손익!C29-보험손익!D52-보험손익!D82-보험손익!C93+보험손익!D68</f>
        <v>1062</v>
      </c>
    </row>
    <row r="16" spans="1:11" x14ac:dyDescent="0.6">
      <c r="A16" s="12" t="s">
        <v>46</v>
      </c>
      <c r="B16" s="12" t="s">
        <v>45</v>
      </c>
      <c r="C16" s="12"/>
      <c r="D16" s="12" t="s">
        <v>3</v>
      </c>
      <c r="E16">
        <f t="shared" si="2"/>
        <v>15</v>
      </c>
      <c r="F16" t="s">
        <v>8</v>
      </c>
      <c r="G16" t="s">
        <v>79</v>
      </c>
      <c r="H16" s="2"/>
    </row>
    <row r="17" spans="1:9" x14ac:dyDescent="0.6">
      <c r="A17" s="12" t="s">
        <v>46</v>
      </c>
      <c r="B17" s="12" t="s">
        <v>45</v>
      </c>
      <c r="C17" s="12"/>
      <c r="D17" s="12" t="s">
        <v>3</v>
      </c>
      <c r="E17">
        <f t="shared" si="2"/>
        <v>16</v>
      </c>
      <c r="F17" t="s">
        <v>7</v>
      </c>
      <c r="G17" t="s">
        <v>79</v>
      </c>
      <c r="H17" s="2">
        <v>5861</v>
      </c>
    </row>
    <row r="18" spans="1:9" x14ac:dyDescent="0.6">
      <c r="A18" s="12" t="s">
        <v>46</v>
      </c>
      <c r="B18" s="12" t="s">
        <v>45</v>
      </c>
      <c r="C18" s="12"/>
      <c r="D18" s="12" t="s">
        <v>3</v>
      </c>
      <c r="E18">
        <f t="shared" si="2"/>
        <v>17</v>
      </c>
      <c r="F18" t="s">
        <v>11</v>
      </c>
      <c r="G18" t="s">
        <v>79</v>
      </c>
      <c r="H18" s="2"/>
    </row>
    <row r="19" spans="1:9" x14ac:dyDescent="0.6">
      <c r="A19" s="12" t="s">
        <v>46</v>
      </c>
      <c r="B19" s="12" t="s">
        <v>45</v>
      </c>
      <c r="C19" s="12"/>
      <c r="D19" s="12" t="s">
        <v>3</v>
      </c>
      <c r="E19">
        <f t="shared" si="2"/>
        <v>18</v>
      </c>
      <c r="F19" t="s">
        <v>10</v>
      </c>
      <c r="G19" t="s">
        <v>79</v>
      </c>
      <c r="H19" s="2"/>
    </row>
    <row r="20" spans="1:9" x14ac:dyDescent="0.6">
      <c r="A20" s="12" t="s">
        <v>46</v>
      </c>
      <c r="B20" s="12" t="s">
        <v>45</v>
      </c>
      <c r="C20" s="12"/>
      <c r="D20" s="12" t="s">
        <v>3</v>
      </c>
      <c r="E20">
        <f t="shared" si="2"/>
        <v>19</v>
      </c>
      <c r="F20" t="s">
        <v>9</v>
      </c>
      <c r="G20" t="s">
        <v>79</v>
      </c>
      <c r="H20" s="2"/>
    </row>
    <row r="21" spans="1:9" x14ac:dyDescent="0.6">
      <c r="A21" s="12" t="s">
        <v>46</v>
      </c>
      <c r="B21" s="12" t="s">
        <v>45</v>
      </c>
      <c r="C21" s="12"/>
      <c r="D21" s="12" t="s">
        <v>3</v>
      </c>
      <c r="E21">
        <f t="shared" si="2"/>
        <v>20</v>
      </c>
      <c r="F21" t="s">
        <v>1</v>
      </c>
      <c r="G21" t="s">
        <v>79</v>
      </c>
      <c r="H21" s="2"/>
    </row>
    <row r="22" spans="1:9" x14ac:dyDescent="0.6">
      <c r="A22" s="12" t="s">
        <v>46</v>
      </c>
      <c r="B22" s="12" t="s">
        <v>45</v>
      </c>
      <c r="C22" s="12"/>
      <c r="D22" s="12" t="s">
        <v>3</v>
      </c>
      <c r="E22">
        <f t="shared" si="2"/>
        <v>21</v>
      </c>
      <c r="F22" t="s">
        <v>6</v>
      </c>
      <c r="G22" t="s">
        <v>79</v>
      </c>
      <c r="H22" s="2"/>
    </row>
    <row r="23" spans="1:9" x14ac:dyDescent="0.6">
      <c r="A23" s="12" t="s">
        <v>46</v>
      </c>
      <c r="B23" s="12" t="s">
        <v>45</v>
      </c>
      <c r="C23" s="12"/>
      <c r="D23" s="12" t="s">
        <v>3</v>
      </c>
      <c r="E23">
        <f t="shared" si="2"/>
        <v>22</v>
      </c>
      <c r="F23" t="s">
        <v>5</v>
      </c>
      <c r="G23" t="s">
        <v>79</v>
      </c>
      <c r="H23" s="2"/>
    </row>
    <row r="24" spans="1:9" x14ac:dyDescent="0.6">
      <c r="A24" s="12" t="s">
        <v>46</v>
      </c>
      <c r="B24" s="12" t="s">
        <v>45</v>
      </c>
      <c r="C24" s="12"/>
      <c r="D24" s="12" t="s">
        <v>3</v>
      </c>
      <c r="E24">
        <f t="shared" si="2"/>
        <v>23</v>
      </c>
      <c r="F24" t="s">
        <v>4</v>
      </c>
      <c r="G24" t="s">
        <v>79</v>
      </c>
      <c r="H24" s="2"/>
    </row>
    <row r="25" spans="1:9" x14ac:dyDescent="0.6">
      <c r="A25" s="12" t="s">
        <v>46</v>
      </c>
      <c r="B25" s="12" t="s">
        <v>45</v>
      </c>
      <c r="C25" s="12"/>
      <c r="D25" s="12" t="s">
        <v>3</v>
      </c>
      <c r="E25">
        <f t="shared" si="2"/>
        <v>24</v>
      </c>
      <c r="F25" t="s">
        <v>2</v>
      </c>
      <c r="G25" t="s">
        <v>79</v>
      </c>
      <c r="H25" s="2"/>
      <c r="I2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2:F102"/>
  <sheetViews>
    <sheetView zoomScale="145" zoomScaleNormal="145" workbookViewId="0">
      <pane xSplit="1" ySplit="1" topLeftCell="B64" activePane="bottomRight" state="frozen"/>
      <selection pane="topRight" activeCell="D1" sqref="D1"/>
      <selection pane="bottomLeft" activeCell="A2" sqref="A2"/>
      <selection pane="bottomRight" activeCell="A12" sqref="A12"/>
    </sheetView>
  </sheetViews>
  <sheetFormatPr defaultRowHeight="16.899999999999999" x14ac:dyDescent="0.6"/>
  <sheetData>
    <row r="2" spans="1:6" x14ac:dyDescent="0.6">
      <c r="A2" s="17" t="s">
        <v>47</v>
      </c>
    </row>
    <row r="3" spans="1:6" x14ac:dyDescent="0.6">
      <c r="A3" s="18"/>
    </row>
    <row r="4" spans="1:6" x14ac:dyDescent="0.6">
      <c r="A4" s="18"/>
    </row>
    <row r="5" spans="1:6" ht="67.5" customHeight="1" x14ac:dyDescent="0.6">
      <c r="A5" s="27" t="s">
        <v>48</v>
      </c>
      <c r="B5" s="27"/>
    </row>
    <row r="6" spans="1:6" ht="27" x14ac:dyDescent="0.6">
      <c r="A6" s="18" t="s">
        <v>49</v>
      </c>
      <c r="B6" s="19" t="s">
        <v>50</v>
      </c>
    </row>
    <row r="7" spans="1:6" x14ac:dyDescent="0.6">
      <c r="A7" s="13"/>
      <c r="B7" s="6"/>
      <c r="C7" s="28" t="s">
        <v>51</v>
      </c>
      <c r="D7" s="29"/>
      <c r="E7" s="29"/>
      <c r="F7" s="30"/>
    </row>
    <row r="8" spans="1:6" ht="17" customHeight="1" x14ac:dyDescent="0.6">
      <c r="A8" s="15"/>
      <c r="B8" s="1"/>
      <c r="C8" s="21" t="s">
        <v>52</v>
      </c>
      <c r="D8" s="22"/>
      <c r="E8" s="22"/>
      <c r="F8" s="23"/>
    </row>
    <row r="9" spans="1:6" x14ac:dyDescent="0.6">
      <c r="A9" s="15"/>
      <c r="B9" s="1"/>
      <c r="C9" s="21" t="s">
        <v>53</v>
      </c>
      <c r="D9" s="22"/>
      <c r="E9" s="22"/>
      <c r="F9" s="23"/>
    </row>
    <row r="10" spans="1:6" ht="27" customHeight="1" x14ac:dyDescent="0.6">
      <c r="A10" s="15"/>
      <c r="B10" s="1"/>
      <c r="C10" s="21" t="s">
        <v>54</v>
      </c>
      <c r="D10" s="22"/>
      <c r="E10" s="22"/>
      <c r="F10" s="23"/>
    </row>
    <row r="11" spans="1:6" x14ac:dyDescent="0.6">
      <c r="A11" s="15"/>
      <c r="B11" s="1"/>
      <c r="C11" s="21" t="s">
        <v>55</v>
      </c>
      <c r="D11" s="22"/>
      <c r="E11" s="24"/>
      <c r="F11" s="25" t="s">
        <v>56</v>
      </c>
    </row>
    <row r="12" spans="1:6" x14ac:dyDescent="0.6">
      <c r="A12" s="15"/>
      <c r="B12" s="1"/>
      <c r="C12" s="1" t="s">
        <v>35</v>
      </c>
      <c r="D12" s="1" t="s">
        <v>36</v>
      </c>
      <c r="E12" s="1" t="s">
        <v>37</v>
      </c>
      <c r="F12" s="26"/>
    </row>
    <row r="13" spans="1:6" x14ac:dyDescent="0.6">
      <c r="A13" s="31" t="s">
        <v>38</v>
      </c>
      <c r="B13" s="32"/>
      <c r="C13" s="4"/>
      <c r="D13" s="4"/>
      <c r="E13" s="4"/>
      <c r="F13" s="16"/>
    </row>
    <row r="14" spans="1:6" ht="67.5" x14ac:dyDescent="0.6">
      <c r="A14" s="33" t="s">
        <v>38</v>
      </c>
      <c r="B14" s="4" t="s">
        <v>57</v>
      </c>
      <c r="C14" s="3">
        <v>305371</v>
      </c>
      <c r="D14" s="5">
        <v>0</v>
      </c>
      <c r="E14" s="5">
        <v>0</v>
      </c>
      <c r="F14" s="7">
        <v>305371</v>
      </c>
    </row>
    <row r="15" spans="1:6" ht="27" x14ac:dyDescent="0.6">
      <c r="A15" s="34"/>
      <c r="B15" s="4" t="s">
        <v>58</v>
      </c>
      <c r="C15" s="3">
        <v>8270</v>
      </c>
      <c r="D15" s="5">
        <v>0</v>
      </c>
      <c r="E15" s="5">
        <v>0</v>
      </c>
      <c r="F15" s="7">
        <v>8270</v>
      </c>
    </row>
    <row r="16" spans="1:6" ht="27" x14ac:dyDescent="0.6">
      <c r="A16" s="34"/>
      <c r="B16" s="4" t="s">
        <v>59</v>
      </c>
      <c r="C16" s="3">
        <v>58694</v>
      </c>
      <c r="D16" s="5">
        <v>0</v>
      </c>
      <c r="E16" s="5">
        <v>0</v>
      </c>
      <c r="F16" s="7">
        <v>58694</v>
      </c>
    </row>
    <row r="17" spans="1:6" ht="40.5" x14ac:dyDescent="0.6">
      <c r="A17" s="34"/>
      <c r="B17" s="4" t="s">
        <v>60</v>
      </c>
      <c r="C17" s="3">
        <v>110675</v>
      </c>
      <c r="D17" s="5">
        <v>0</v>
      </c>
      <c r="E17" s="5">
        <v>0</v>
      </c>
      <c r="F17" s="7">
        <v>110675</v>
      </c>
    </row>
    <row r="18" spans="1:6" x14ac:dyDescent="0.6">
      <c r="A18" s="35"/>
      <c r="B18" s="20" t="s">
        <v>38</v>
      </c>
      <c r="C18" s="9">
        <v>483010</v>
      </c>
      <c r="D18" s="8">
        <v>0</v>
      </c>
      <c r="E18" s="8">
        <v>0</v>
      </c>
      <c r="F18" s="10">
        <v>483010</v>
      </c>
    </row>
    <row r="19" spans="1:6" x14ac:dyDescent="0.6">
      <c r="A19" s="18"/>
    </row>
    <row r="20" spans="1:6" x14ac:dyDescent="0.6">
      <c r="A20" s="18"/>
    </row>
    <row r="21" spans="1:6" ht="54" customHeight="1" x14ac:dyDescent="0.6">
      <c r="A21" s="27" t="s">
        <v>61</v>
      </c>
      <c r="B21" s="27"/>
    </row>
    <row r="22" spans="1:6" ht="27" x14ac:dyDescent="0.6">
      <c r="A22" s="18" t="s">
        <v>49</v>
      </c>
      <c r="B22" s="19" t="s">
        <v>50</v>
      </c>
    </row>
    <row r="23" spans="1:6" x14ac:dyDescent="0.6">
      <c r="A23" s="13"/>
      <c r="B23" s="28" t="s">
        <v>51</v>
      </c>
      <c r="C23" s="29"/>
      <c r="D23" s="29"/>
      <c r="E23" s="30"/>
    </row>
    <row r="24" spans="1:6" x14ac:dyDescent="0.6">
      <c r="A24" s="15"/>
      <c r="B24" s="21" t="s">
        <v>52</v>
      </c>
      <c r="C24" s="22"/>
      <c r="D24" s="22"/>
      <c r="E24" s="23"/>
    </row>
    <row r="25" spans="1:6" x14ac:dyDescent="0.6">
      <c r="A25" s="15"/>
      <c r="B25" s="21" t="s">
        <v>53</v>
      </c>
      <c r="C25" s="22"/>
      <c r="D25" s="22"/>
      <c r="E25" s="23"/>
    </row>
    <row r="26" spans="1:6" x14ac:dyDescent="0.6">
      <c r="A26" s="15"/>
      <c r="B26" s="21" t="s">
        <v>62</v>
      </c>
      <c r="C26" s="22"/>
      <c r="D26" s="22"/>
      <c r="E26" s="23"/>
    </row>
    <row r="27" spans="1:6" x14ac:dyDescent="0.6">
      <c r="A27" s="15"/>
      <c r="B27" s="21" t="s">
        <v>55</v>
      </c>
      <c r="C27" s="22"/>
      <c r="D27" s="24"/>
      <c r="E27" s="25" t="s">
        <v>56</v>
      </c>
    </row>
    <row r="28" spans="1:6" x14ac:dyDescent="0.6">
      <c r="A28" s="15"/>
      <c r="B28" s="1" t="s">
        <v>35</v>
      </c>
      <c r="C28" s="1" t="s">
        <v>36</v>
      </c>
      <c r="D28" s="1" t="s">
        <v>37</v>
      </c>
      <c r="E28" s="26"/>
    </row>
    <row r="29" spans="1:6" x14ac:dyDescent="0.6">
      <c r="A29" s="14" t="s">
        <v>38</v>
      </c>
      <c r="B29" s="8">
        <v>0</v>
      </c>
      <c r="C29" s="9">
        <v>36082</v>
      </c>
      <c r="D29" s="9">
        <v>32481</v>
      </c>
      <c r="E29" s="10">
        <v>68563</v>
      </c>
    </row>
    <row r="30" spans="1:6" x14ac:dyDescent="0.6">
      <c r="A30" s="18"/>
    </row>
    <row r="31" spans="1:6" x14ac:dyDescent="0.6">
      <c r="A31" s="18"/>
    </row>
    <row r="32" spans="1:6" ht="27" customHeight="1" x14ac:dyDescent="0.6">
      <c r="A32" s="27" t="s">
        <v>63</v>
      </c>
      <c r="B32" s="27"/>
    </row>
    <row r="33" spans="1:6" ht="27" x14ac:dyDescent="0.6">
      <c r="A33" s="18" t="s">
        <v>49</v>
      </c>
      <c r="B33" s="19" t="s">
        <v>50</v>
      </c>
    </row>
    <row r="34" spans="1:6" x14ac:dyDescent="0.6">
      <c r="A34" s="13"/>
      <c r="B34" s="28" t="s">
        <v>51</v>
      </c>
      <c r="C34" s="29"/>
      <c r="D34" s="29"/>
      <c r="E34" s="30"/>
    </row>
    <row r="35" spans="1:6" x14ac:dyDescent="0.6">
      <c r="A35" s="15"/>
      <c r="B35" s="21" t="s">
        <v>52</v>
      </c>
      <c r="C35" s="22"/>
      <c r="D35" s="22"/>
      <c r="E35" s="23"/>
    </row>
    <row r="36" spans="1:6" x14ac:dyDescent="0.6">
      <c r="A36" s="15"/>
      <c r="B36" s="21" t="s">
        <v>55</v>
      </c>
      <c r="C36" s="22"/>
      <c r="D36" s="24"/>
      <c r="E36" s="25" t="s">
        <v>56</v>
      </c>
    </row>
    <row r="37" spans="1:6" x14ac:dyDescent="0.6">
      <c r="A37" s="15"/>
      <c r="B37" s="1" t="s">
        <v>35</v>
      </c>
      <c r="C37" s="1" t="s">
        <v>36</v>
      </c>
      <c r="D37" s="1" t="s">
        <v>37</v>
      </c>
      <c r="E37" s="26"/>
    </row>
    <row r="38" spans="1:6" ht="27" x14ac:dyDescent="0.6">
      <c r="A38" s="14" t="s">
        <v>64</v>
      </c>
      <c r="B38" s="9">
        <v>483010</v>
      </c>
      <c r="C38" s="9">
        <v>36082</v>
      </c>
      <c r="D38" s="9">
        <v>32481</v>
      </c>
      <c r="E38" s="10">
        <v>551573</v>
      </c>
    </row>
    <row r="39" spans="1:6" x14ac:dyDescent="0.6">
      <c r="A39" s="18"/>
    </row>
    <row r="40" spans="1:6" x14ac:dyDescent="0.6">
      <c r="A40" s="18"/>
    </row>
    <row r="41" spans="1:6" ht="27" customHeight="1" x14ac:dyDescent="0.6">
      <c r="A41" s="27" t="s">
        <v>65</v>
      </c>
      <c r="B41" s="27"/>
    </row>
    <row r="42" spans="1:6" ht="27" x14ac:dyDescent="0.6">
      <c r="A42" s="18" t="s">
        <v>49</v>
      </c>
      <c r="B42" s="19" t="s">
        <v>50</v>
      </c>
    </row>
    <row r="43" spans="1:6" x14ac:dyDescent="0.6">
      <c r="A43" s="13"/>
      <c r="B43" s="6"/>
      <c r="C43" s="28" t="s">
        <v>51</v>
      </c>
      <c r="D43" s="29"/>
      <c r="E43" s="29"/>
      <c r="F43" s="30"/>
    </row>
    <row r="44" spans="1:6" x14ac:dyDescent="0.6">
      <c r="A44" s="15"/>
      <c r="B44" s="1"/>
      <c r="C44" s="21" t="s">
        <v>52</v>
      </c>
      <c r="D44" s="22"/>
      <c r="E44" s="22"/>
      <c r="F44" s="23"/>
    </row>
    <row r="45" spans="1:6" x14ac:dyDescent="0.6">
      <c r="A45" s="15"/>
      <c r="B45" s="1"/>
      <c r="C45" s="21" t="s">
        <v>55</v>
      </c>
      <c r="D45" s="22"/>
      <c r="E45" s="24"/>
      <c r="F45" s="25" t="s">
        <v>56</v>
      </c>
    </row>
    <row r="46" spans="1:6" x14ac:dyDescent="0.6">
      <c r="A46" s="15"/>
      <c r="B46" s="1"/>
      <c r="C46" s="1" t="s">
        <v>35</v>
      </c>
      <c r="D46" s="1" t="s">
        <v>36</v>
      </c>
      <c r="E46" s="1" t="s">
        <v>37</v>
      </c>
      <c r="F46" s="26"/>
    </row>
    <row r="47" spans="1:6" x14ac:dyDescent="0.6">
      <c r="A47" s="31" t="s">
        <v>39</v>
      </c>
      <c r="B47" s="32"/>
      <c r="C47" s="4"/>
      <c r="D47" s="4"/>
      <c r="E47" s="4"/>
      <c r="F47" s="16"/>
    </row>
    <row r="48" spans="1:6" ht="54" x14ac:dyDescent="0.6">
      <c r="A48" s="33" t="s">
        <v>39</v>
      </c>
      <c r="B48" s="4" t="s">
        <v>66</v>
      </c>
      <c r="C48" s="3">
        <v>332235</v>
      </c>
      <c r="D48" s="3">
        <v>25001</v>
      </c>
      <c r="E48" s="3">
        <v>35013</v>
      </c>
      <c r="F48" s="7">
        <v>392249</v>
      </c>
    </row>
    <row r="49" spans="1:6" ht="40.5" x14ac:dyDescent="0.6">
      <c r="A49" s="34"/>
      <c r="B49" s="4" t="s">
        <v>60</v>
      </c>
      <c r="C49" s="3">
        <v>110675</v>
      </c>
      <c r="D49" s="3">
        <v>5398</v>
      </c>
      <c r="E49" s="3">
        <v>4366</v>
      </c>
      <c r="F49" s="7">
        <v>120439</v>
      </c>
    </row>
    <row r="50" spans="1:6" ht="54" x14ac:dyDescent="0.6">
      <c r="A50" s="34"/>
      <c r="B50" s="4" t="s">
        <v>67</v>
      </c>
      <c r="C50" s="3">
        <v>-5823</v>
      </c>
      <c r="D50" s="5">
        <v>882</v>
      </c>
      <c r="E50" s="5">
        <v>529</v>
      </c>
      <c r="F50" s="7">
        <v>-4412</v>
      </c>
    </row>
    <row r="51" spans="1:6" ht="27" x14ac:dyDescent="0.6">
      <c r="A51" s="34"/>
      <c r="B51" s="4" t="s">
        <v>68</v>
      </c>
      <c r="C51" s="3">
        <v>1399</v>
      </c>
      <c r="D51" s="3">
        <v>-18500</v>
      </c>
      <c r="E51" s="3">
        <v>-2402</v>
      </c>
      <c r="F51" s="7">
        <v>-19503</v>
      </c>
    </row>
    <row r="52" spans="1:6" ht="27" x14ac:dyDescent="0.6">
      <c r="A52" s="35"/>
      <c r="B52" s="20" t="s">
        <v>40</v>
      </c>
      <c r="C52" s="9">
        <v>438486</v>
      </c>
      <c r="D52" s="9">
        <v>12781</v>
      </c>
      <c r="E52" s="9">
        <v>37506</v>
      </c>
      <c r="F52" s="10">
        <v>488773</v>
      </c>
    </row>
    <row r="53" spans="1:6" x14ac:dyDescent="0.6">
      <c r="A53" s="18"/>
    </row>
    <row r="54" spans="1:6" x14ac:dyDescent="0.6">
      <c r="A54" s="18"/>
    </row>
    <row r="56" spans="1:6" x14ac:dyDescent="0.6">
      <c r="A56" s="17" t="s">
        <v>69</v>
      </c>
    </row>
    <row r="57" spans="1:6" x14ac:dyDescent="0.6">
      <c r="A57" s="18"/>
    </row>
    <row r="58" spans="1:6" ht="27" customHeight="1" x14ac:dyDescent="0.6">
      <c r="A58" s="27" t="s">
        <v>70</v>
      </c>
      <c r="B58" s="27"/>
    </row>
    <row r="59" spans="1:6" ht="27" x14ac:dyDescent="0.6">
      <c r="A59" s="18" t="s">
        <v>49</v>
      </c>
      <c r="B59" s="19" t="s">
        <v>50</v>
      </c>
    </row>
    <row r="60" spans="1:6" x14ac:dyDescent="0.6">
      <c r="A60" s="13"/>
      <c r="B60" s="6"/>
      <c r="C60" s="28" t="s">
        <v>51</v>
      </c>
      <c r="D60" s="29"/>
      <c r="E60" s="29"/>
      <c r="F60" s="30"/>
    </row>
    <row r="61" spans="1:6" x14ac:dyDescent="0.6">
      <c r="A61" s="15"/>
      <c r="B61" s="1"/>
      <c r="C61" s="21" t="s">
        <v>71</v>
      </c>
      <c r="D61" s="22"/>
      <c r="E61" s="22"/>
      <c r="F61" s="23"/>
    </row>
    <row r="62" spans="1:6" x14ac:dyDescent="0.6">
      <c r="A62" s="15"/>
      <c r="B62" s="1"/>
      <c r="C62" s="21" t="s">
        <v>55</v>
      </c>
      <c r="D62" s="22"/>
      <c r="E62" s="24"/>
      <c r="F62" s="25" t="s">
        <v>56</v>
      </c>
    </row>
    <row r="63" spans="1:6" x14ac:dyDescent="0.6">
      <c r="A63" s="15"/>
      <c r="B63" s="1"/>
      <c r="C63" s="1" t="s">
        <v>35</v>
      </c>
      <c r="D63" s="1" t="s">
        <v>36</v>
      </c>
      <c r="E63" s="1" t="s">
        <v>37</v>
      </c>
      <c r="F63" s="26"/>
    </row>
    <row r="64" spans="1:6" x14ac:dyDescent="0.6">
      <c r="A64" s="31" t="s">
        <v>41</v>
      </c>
      <c r="B64" s="32"/>
      <c r="C64" s="4"/>
      <c r="D64" s="4"/>
      <c r="E64" s="4"/>
      <c r="F64" s="16"/>
    </row>
    <row r="65" spans="1:6" ht="54" x14ac:dyDescent="0.6">
      <c r="A65" s="33" t="s">
        <v>41</v>
      </c>
      <c r="B65" s="4" t="s">
        <v>72</v>
      </c>
      <c r="C65" s="3">
        <v>10401</v>
      </c>
      <c r="D65" s="3">
        <v>7944</v>
      </c>
      <c r="E65" s="5">
        <v>0</v>
      </c>
      <c r="F65" s="7">
        <v>18345</v>
      </c>
    </row>
    <row r="66" spans="1:6" ht="40.5" x14ac:dyDescent="0.6">
      <c r="A66" s="34"/>
      <c r="B66" s="4" t="s">
        <v>73</v>
      </c>
      <c r="C66" s="5">
        <v>-316</v>
      </c>
      <c r="D66" s="5">
        <v>329</v>
      </c>
      <c r="E66" s="5">
        <v>0</v>
      </c>
      <c r="F66" s="11">
        <v>13</v>
      </c>
    </row>
    <row r="67" spans="1:6" ht="27" x14ac:dyDescent="0.6">
      <c r="A67" s="34"/>
      <c r="B67" s="4" t="s">
        <v>68</v>
      </c>
      <c r="C67" s="3">
        <v>-1545</v>
      </c>
      <c r="D67" s="3">
        <v>-12007</v>
      </c>
      <c r="E67" s="5">
        <v>-49</v>
      </c>
      <c r="F67" s="7">
        <v>-13601</v>
      </c>
    </row>
    <row r="68" spans="1:6" ht="27" x14ac:dyDescent="0.6">
      <c r="A68" s="35"/>
      <c r="B68" s="20" t="s">
        <v>42</v>
      </c>
      <c r="C68" s="9">
        <v>8540</v>
      </c>
      <c r="D68" s="9">
        <v>-3734</v>
      </c>
      <c r="E68" s="8">
        <v>-49</v>
      </c>
      <c r="F68" s="10">
        <v>4757</v>
      </c>
    </row>
    <row r="69" spans="1:6" x14ac:dyDescent="0.6">
      <c r="A69" s="18"/>
    </row>
    <row r="70" spans="1:6" ht="54" customHeight="1" x14ac:dyDescent="0.6">
      <c r="A70" s="27" t="s">
        <v>74</v>
      </c>
      <c r="B70" s="27"/>
    </row>
    <row r="71" spans="1:6" ht="27" x14ac:dyDescent="0.6">
      <c r="A71" s="18" t="s">
        <v>49</v>
      </c>
      <c r="B71" s="19" t="s">
        <v>50</v>
      </c>
    </row>
    <row r="72" spans="1:6" x14ac:dyDescent="0.6">
      <c r="A72" s="13"/>
      <c r="B72" s="6"/>
      <c r="C72" s="28" t="s">
        <v>51</v>
      </c>
      <c r="D72" s="29"/>
      <c r="E72" s="29"/>
      <c r="F72" s="30"/>
    </row>
    <row r="73" spans="1:6" x14ac:dyDescent="0.6">
      <c r="A73" s="15"/>
      <c r="B73" s="1"/>
      <c r="C73" s="21" t="s">
        <v>71</v>
      </c>
      <c r="D73" s="22"/>
      <c r="E73" s="22"/>
      <c r="F73" s="23"/>
    </row>
    <row r="74" spans="1:6" x14ac:dyDescent="0.6">
      <c r="A74" s="15"/>
      <c r="B74" s="1"/>
      <c r="C74" s="21" t="s">
        <v>53</v>
      </c>
      <c r="D74" s="22"/>
      <c r="E74" s="22"/>
      <c r="F74" s="23"/>
    </row>
    <row r="75" spans="1:6" ht="27" customHeight="1" x14ac:dyDescent="0.6">
      <c r="A75" s="15"/>
      <c r="B75" s="1"/>
      <c r="C75" s="21" t="s">
        <v>54</v>
      </c>
      <c r="D75" s="22"/>
      <c r="E75" s="22"/>
      <c r="F75" s="23"/>
    </row>
    <row r="76" spans="1:6" x14ac:dyDescent="0.6">
      <c r="A76" s="15"/>
      <c r="B76" s="1"/>
      <c r="C76" s="21" t="s">
        <v>55</v>
      </c>
      <c r="D76" s="22"/>
      <c r="E76" s="24"/>
      <c r="F76" s="25" t="s">
        <v>56</v>
      </c>
    </row>
    <row r="77" spans="1:6" x14ac:dyDescent="0.6">
      <c r="A77" s="15"/>
      <c r="B77" s="1"/>
      <c r="C77" s="1" t="s">
        <v>35</v>
      </c>
      <c r="D77" s="1" t="s">
        <v>36</v>
      </c>
      <c r="E77" s="1" t="s">
        <v>37</v>
      </c>
      <c r="F77" s="26"/>
    </row>
    <row r="78" spans="1:6" x14ac:dyDescent="0.6">
      <c r="A78" s="31" t="s">
        <v>43</v>
      </c>
      <c r="B78" s="32"/>
      <c r="C78" s="4"/>
      <c r="D78" s="4"/>
      <c r="E78" s="4"/>
      <c r="F78" s="16"/>
    </row>
    <row r="79" spans="1:6" ht="67.5" x14ac:dyDescent="0.6">
      <c r="A79" s="33" t="s">
        <v>43</v>
      </c>
      <c r="B79" s="4" t="s">
        <v>75</v>
      </c>
      <c r="C79" s="3">
        <v>11655</v>
      </c>
      <c r="D79" s="5">
        <v>0</v>
      </c>
      <c r="E79" s="5">
        <v>0</v>
      </c>
      <c r="F79" s="7">
        <v>11655</v>
      </c>
    </row>
    <row r="80" spans="1:6" ht="27" x14ac:dyDescent="0.6">
      <c r="A80" s="34"/>
      <c r="B80" s="4" t="s">
        <v>58</v>
      </c>
      <c r="C80" s="5">
        <v>601</v>
      </c>
      <c r="D80" s="5">
        <v>0</v>
      </c>
      <c r="E80" s="5">
        <v>0</v>
      </c>
      <c r="F80" s="11">
        <v>601</v>
      </c>
    </row>
    <row r="81" spans="1:6" ht="27" x14ac:dyDescent="0.6">
      <c r="A81" s="34"/>
      <c r="B81" s="4" t="s">
        <v>59</v>
      </c>
      <c r="C81" s="3">
        <v>3352</v>
      </c>
      <c r="D81" s="5">
        <v>0</v>
      </c>
      <c r="E81" s="5">
        <v>0</v>
      </c>
      <c r="F81" s="7">
        <v>3352</v>
      </c>
    </row>
    <row r="82" spans="1:6" ht="27" x14ac:dyDescent="0.6">
      <c r="A82" s="35"/>
      <c r="B82" s="20" t="s">
        <v>43</v>
      </c>
      <c r="C82" s="9">
        <v>15608</v>
      </c>
      <c r="D82" s="8">
        <v>0</v>
      </c>
      <c r="E82" s="8">
        <v>0</v>
      </c>
      <c r="F82" s="10">
        <v>15608</v>
      </c>
    </row>
    <row r="83" spans="1:6" x14ac:dyDescent="0.6">
      <c r="A83" s="18"/>
    </row>
    <row r="84" spans="1:6" x14ac:dyDescent="0.6">
      <c r="A84" s="18"/>
    </row>
    <row r="85" spans="1:6" ht="54" customHeight="1" x14ac:dyDescent="0.6">
      <c r="A85" s="27" t="s">
        <v>76</v>
      </c>
      <c r="B85" s="27"/>
    </row>
    <row r="86" spans="1:6" ht="27" x14ac:dyDescent="0.6">
      <c r="A86" s="18" t="s">
        <v>49</v>
      </c>
      <c r="B86" s="19" t="s">
        <v>50</v>
      </c>
    </row>
    <row r="87" spans="1:6" x14ac:dyDescent="0.6">
      <c r="A87" s="13"/>
      <c r="B87" s="28" t="s">
        <v>51</v>
      </c>
      <c r="C87" s="29"/>
      <c r="D87" s="29"/>
      <c r="E87" s="30"/>
    </row>
    <row r="88" spans="1:6" x14ac:dyDescent="0.6">
      <c r="A88" s="15"/>
      <c r="B88" s="21" t="s">
        <v>71</v>
      </c>
      <c r="C88" s="22"/>
      <c r="D88" s="22"/>
      <c r="E88" s="23"/>
    </row>
    <row r="89" spans="1:6" x14ac:dyDescent="0.6">
      <c r="A89" s="15"/>
      <c r="B89" s="21" t="s">
        <v>53</v>
      </c>
      <c r="C89" s="22"/>
      <c r="D89" s="22"/>
      <c r="E89" s="23"/>
    </row>
    <row r="90" spans="1:6" x14ac:dyDescent="0.6">
      <c r="A90" s="15"/>
      <c r="B90" s="21" t="s">
        <v>62</v>
      </c>
      <c r="C90" s="22"/>
      <c r="D90" s="22"/>
      <c r="E90" s="23"/>
    </row>
    <row r="91" spans="1:6" x14ac:dyDescent="0.6">
      <c r="A91" s="15"/>
      <c r="B91" s="21" t="s">
        <v>55</v>
      </c>
      <c r="C91" s="22"/>
      <c r="D91" s="24"/>
      <c r="E91" s="25" t="s">
        <v>56</v>
      </c>
    </row>
    <row r="92" spans="1:6" x14ac:dyDescent="0.6">
      <c r="A92" s="15"/>
      <c r="B92" s="1" t="s">
        <v>35</v>
      </c>
      <c r="C92" s="1" t="s">
        <v>36</v>
      </c>
      <c r="D92" s="1" t="s">
        <v>37</v>
      </c>
      <c r="E92" s="26"/>
    </row>
    <row r="93" spans="1:6" ht="27" x14ac:dyDescent="0.6">
      <c r="A93" s="14" t="s">
        <v>43</v>
      </c>
      <c r="B93" s="8">
        <v>38</v>
      </c>
      <c r="C93" s="9">
        <v>18505</v>
      </c>
      <c r="D93" s="8">
        <v>345</v>
      </c>
      <c r="E93" s="10">
        <v>18888</v>
      </c>
    </row>
    <row r="94" spans="1:6" x14ac:dyDescent="0.6">
      <c r="A94" s="18"/>
    </row>
    <row r="95" spans="1:6" x14ac:dyDescent="0.6">
      <c r="A95" s="18"/>
    </row>
    <row r="96" spans="1:6" ht="27" customHeight="1" x14ac:dyDescent="0.6">
      <c r="A96" s="27" t="s">
        <v>77</v>
      </c>
      <c r="B96" s="27"/>
    </row>
    <row r="97" spans="1:5" ht="27" x14ac:dyDescent="0.6">
      <c r="A97" s="18" t="s">
        <v>49</v>
      </c>
      <c r="B97" s="19" t="s">
        <v>50</v>
      </c>
    </row>
    <row r="98" spans="1:5" x14ac:dyDescent="0.6">
      <c r="A98" s="13"/>
      <c r="B98" s="28" t="s">
        <v>78</v>
      </c>
      <c r="C98" s="29"/>
      <c r="D98" s="29"/>
      <c r="E98" s="30"/>
    </row>
    <row r="99" spans="1:5" x14ac:dyDescent="0.6">
      <c r="A99" s="15"/>
      <c r="B99" s="21" t="s">
        <v>71</v>
      </c>
      <c r="C99" s="22"/>
      <c r="D99" s="22"/>
      <c r="E99" s="23"/>
    </row>
    <row r="100" spans="1:5" x14ac:dyDescent="0.6">
      <c r="A100" s="15"/>
      <c r="B100" s="21" t="s">
        <v>55</v>
      </c>
      <c r="C100" s="22"/>
      <c r="D100" s="24"/>
      <c r="E100" s="25" t="s">
        <v>56</v>
      </c>
    </row>
    <row r="101" spans="1:5" x14ac:dyDescent="0.6">
      <c r="A101" s="15"/>
      <c r="B101" s="1" t="s">
        <v>35</v>
      </c>
      <c r="C101" s="1" t="s">
        <v>36</v>
      </c>
      <c r="D101" s="1" t="s">
        <v>37</v>
      </c>
      <c r="E101" s="26"/>
    </row>
    <row r="102" spans="1:5" ht="27" x14ac:dyDescent="0.6">
      <c r="A102" s="14" t="s">
        <v>44</v>
      </c>
      <c r="B102" s="9">
        <v>15646</v>
      </c>
      <c r="C102" s="9">
        <v>18505</v>
      </c>
      <c r="D102" s="8">
        <v>345</v>
      </c>
      <c r="E102" s="10">
        <v>34496</v>
      </c>
    </row>
  </sheetData>
  <mergeCells count="56">
    <mergeCell ref="A5:B5"/>
    <mergeCell ref="C7:F7"/>
    <mergeCell ref="C8:F8"/>
    <mergeCell ref="C9:F9"/>
    <mergeCell ref="C10:F10"/>
    <mergeCell ref="C11:E11"/>
    <mergeCell ref="F11:F12"/>
    <mergeCell ref="A13:B13"/>
    <mergeCell ref="A14:A18"/>
    <mergeCell ref="B25:E25"/>
    <mergeCell ref="B26:E26"/>
    <mergeCell ref="B27:D27"/>
    <mergeCell ref="E27:E28"/>
    <mergeCell ref="A21:B21"/>
    <mergeCell ref="B23:E23"/>
    <mergeCell ref="B24:E24"/>
    <mergeCell ref="A41:B41"/>
    <mergeCell ref="A32:B32"/>
    <mergeCell ref="B34:E34"/>
    <mergeCell ref="B35:E35"/>
    <mergeCell ref="B36:D36"/>
    <mergeCell ref="E36:E37"/>
    <mergeCell ref="A64:B64"/>
    <mergeCell ref="A65:A68"/>
    <mergeCell ref="A70:B70"/>
    <mergeCell ref="A48:A52"/>
    <mergeCell ref="C43:F43"/>
    <mergeCell ref="C44:F44"/>
    <mergeCell ref="C45:E45"/>
    <mergeCell ref="F45:F46"/>
    <mergeCell ref="A47:B47"/>
    <mergeCell ref="A58:B58"/>
    <mergeCell ref="C60:F60"/>
    <mergeCell ref="C61:F61"/>
    <mergeCell ref="C62:E62"/>
    <mergeCell ref="F62:F63"/>
    <mergeCell ref="A78:B78"/>
    <mergeCell ref="A79:A82"/>
    <mergeCell ref="C72:F72"/>
    <mergeCell ref="C73:F73"/>
    <mergeCell ref="C74:F74"/>
    <mergeCell ref="C75:F75"/>
    <mergeCell ref="C76:E76"/>
    <mergeCell ref="F76:F77"/>
    <mergeCell ref="B91:D91"/>
    <mergeCell ref="E91:E92"/>
    <mergeCell ref="A85:B85"/>
    <mergeCell ref="B87:E87"/>
    <mergeCell ref="B88:E88"/>
    <mergeCell ref="B89:E89"/>
    <mergeCell ref="B90:E90"/>
    <mergeCell ref="B99:E99"/>
    <mergeCell ref="B100:D100"/>
    <mergeCell ref="E100:E101"/>
    <mergeCell ref="A96:B96"/>
    <mergeCell ref="B98:E9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2026-06-06T13:51:15Z</dcterms:modified>
</cp:coreProperties>
</file>