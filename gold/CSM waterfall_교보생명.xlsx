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F70F2DE4-54A3-47EA-A4AC-D03787772DAA}" xr6:coauthVersionLast="47" xr6:coauthVersionMax="47" xr10:uidLastSave="{00000000-0000-0000-0000-000000000000}"/>
  <bookViews>
    <workbookView xWindow="-83" yWindow="0" windowWidth="10965" windowHeight="12863" xr2:uid="{3CD259B9-5A78-42E0-B669-107C3DC53255}"/>
  </bookViews>
  <sheets>
    <sheet name="Sheet2" sheetId="2" r:id="rId1"/>
    <sheet name="부문별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2" l="1"/>
  <c r="H6" i="2"/>
  <c r="H4" i="2"/>
  <c r="H3" i="2"/>
  <c r="H2" i="2"/>
  <c r="H32" i="2"/>
  <c r="H31" i="2"/>
  <c r="H27" i="2"/>
  <c r="H26" i="2"/>
  <c r="H24" i="2"/>
  <c r="H23" i="2"/>
  <c r="H22" i="2"/>
  <c r="H25" i="2" l="1"/>
  <c r="H5" i="2" l="1"/>
</calcChain>
</file>

<file path=xl/sharedStrings.xml><?xml version="1.0" encoding="utf-8"?>
<sst xmlns="http://schemas.openxmlformats.org/spreadsheetml/2006/main" count="377" uniqueCount="67">
  <si>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</si>
  <si>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</si>
  <si>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</si>
  <si>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</si>
  <si>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</si>
  <si>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</si>
  <si>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</si>
  <si>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기초 CSM</t>
    <phoneticPr fontId="1" type="noConversion"/>
  </si>
  <si>
    <t>신계약 CSM</t>
    <phoneticPr fontId="1" type="noConversion"/>
  </si>
  <si>
    <t>이자 부리</t>
    <phoneticPr fontId="1" type="noConversion"/>
  </si>
  <si>
    <t>CSM 상각</t>
    <phoneticPr fontId="1" type="noConversion"/>
  </si>
  <si>
    <t>기말 CSM</t>
    <phoneticPr fontId="1" type="noConversion"/>
  </si>
  <si>
    <t>보험계약마진</t>
  </si>
  <si>
    <t>가정 및 경험 조정 등</t>
    <phoneticPr fontId="1" type="noConversion"/>
  </si>
  <si>
    <t>KR0069</t>
    <phoneticPr fontId="1" type="noConversion"/>
  </si>
  <si>
    <t>삼성생명</t>
    <phoneticPr fontId="1" type="noConversion"/>
  </si>
  <si>
    <t>생명보험</t>
    <phoneticPr fontId="1" type="noConversion"/>
  </si>
  <si>
    <t>미래현금흐름의</t>
  </si>
  <si>
    <t>현재가치 추정치</t>
  </si>
  <si>
    <t>-</t>
  </si>
  <si>
    <t>2025.1Q</t>
    <phoneticPr fontId="1" type="noConversion"/>
  </si>
  <si>
    <t>17-4) 당기 및 전기 중 보험료배분접근법을 적용한 보험계약 이외의 보험계약부채(자산)의 요소별 변동내역은 다음과 같습니다.</t>
  </si>
  <si>
    <t>1) 당기</t>
  </si>
  <si>
    <t>&lt;유배당계약&gt;</t>
  </si>
  <si>
    <t>(단위 : 백만원)</t>
  </si>
  <si>
    <t>구  분</t>
  </si>
  <si>
    <t>비금융위험에</t>
  </si>
  <si>
    <t>대한 위험조정</t>
  </si>
  <si>
    <t>보험계약부채</t>
  </si>
  <si>
    <t>(자산)</t>
  </si>
  <si>
    <t>완전소급법을</t>
  </si>
  <si>
    <t>적용한 보험계약</t>
  </si>
  <si>
    <t>공정가치법을</t>
  </si>
  <si>
    <t>그 밖의 모든</t>
  </si>
  <si>
    <t>보험계약</t>
  </si>
  <si>
    <t>소계</t>
  </si>
  <si>
    <t>1. 기초 보험계약자산 및 부채</t>
  </si>
  <si>
    <t>  (1) 기초보험계약자산</t>
  </si>
  <si>
    <t>  (2) 기초보험계약부채</t>
  </si>
  <si>
    <t>기초 보험계약순부채</t>
  </si>
  <si>
    <t>2. 미래서비스 관련 변동</t>
  </si>
  <si>
    <t>  (1) 보험계약마진을 조정하는 추정치의 변동분</t>
  </si>
  <si>
    <t>  (2) 손실부담계약집합의 손실 및 손실의 환입</t>
  </si>
  <si>
    <t>  (3) 최초 인식한 계약의 효과</t>
  </si>
  <si>
    <t>3. 현행서비스 관련 변동</t>
  </si>
  <si>
    <t>  (2) 비금융위험에 대한 위험조정의 변동분</t>
  </si>
  <si>
    <t>  (3) 경험조정</t>
  </si>
  <si>
    <t>4. 발생사고부채 이행현금흐름 변동</t>
  </si>
  <si>
    <t>5. 현금흐름</t>
  </si>
  <si>
    <t>  (1) 수취한 보험료</t>
  </si>
  <si>
    <t>  (2) 보험취득현금흐름</t>
  </si>
  <si>
    <t>  (3) 발생한 보험금과 그 밖의 보험서비스비용</t>
  </si>
  <si>
    <t>6. 보험금융손익</t>
  </si>
  <si>
    <t>  (1) 당기손익인식</t>
  </si>
  <si>
    <t>  (2) 기타포괄손익인식</t>
  </si>
  <si>
    <t>7. 기타</t>
  </si>
  <si>
    <t>8. 기말 보험계약자산 및 부채</t>
  </si>
  <si>
    <t>  (1) 기말 보험계약자산</t>
  </si>
  <si>
    <t>  (2) 기말 보험계약부채</t>
  </si>
  <si>
    <t>기말 보험계약순부채</t>
  </si>
  <si>
    <t>&lt;무배당계약&gt;</t>
  </si>
  <si>
    <t>  (1) 기말보험계약자산</t>
  </si>
  <si>
    <t>  (2) 기말보험계약부채</t>
  </si>
  <si>
    <t>기말 보험계약순부채(자산)</t>
  </si>
  <si>
    <t>&lt;변액계약&gt;</t>
  </si>
  <si>
    <t>계</t>
    <phoneticPr fontId="1" type="noConversion"/>
  </si>
  <si>
    <t>  (1) 서비스 이전을 반영하기 위해 당기손익으로 인식한 보험계약마진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</si>
</sst>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  <font>
      <sz val="10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2" fillId="0" borderId="0" xfId="0" applyFont="1" applyAlignment="1">
      <alignment horizontal="justify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3" fontId="3" fillId="0" borderId="10" xfId="0" applyNumberFormat="1" applyFont="1" applyBorder="1" applyAlignment="1">
      <alignment horizontal="right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3" fontId="3" fillId="0" borderId="6" xfId="0" applyNumberFormat="1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20" xfId="0" applyFont="1" applyBorder="1" applyAlignment="1">
      <alignment vertical="center" wrapText="1"/>
    </xf>
    <xf numFmtId="3" fontId="3" fillId="0" borderId="21" xfId="0" applyNumberFormat="1" applyFont="1" applyBorder="1" applyAlignment="1">
      <alignment horizontal="right" vertical="center" wrapText="1"/>
    </xf>
    <xf numFmtId="0" fontId="3" fillId="0" borderId="15" xfId="0" applyFont="1" applyBorder="1" applyAlignment="1">
      <alignment vertical="center" wrapText="1"/>
    </xf>
    <xf numFmtId="3" fontId="3" fillId="0" borderId="7" xfId="0" applyNumberFormat="1" applyFont="1" applyBorder="1" applyAlignment="1">
      <alignment horizontal="right" vertical="center" wrapText="1"/>
    </xf>
    <xf numFmtId="3" fontId="3" fillId="0" borderId="8" xfId="0" applyNumberFormat="1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right" vertical="center" wrapText="1"/>
    </xf>
    <xf numFmtId="0" fontId="3" fillId="2" borderId="12" xfId="0" applyFont="1" applyFill="1" applyBorder="1" applyAlignment="1">
      <alignment horizontal="right" vertical="center" wrapText="1"/>
    </xf>
    <xf numFmtId="0" fontId="3" fillId="2" borderId="19" xfId="0" applyFont="1" applyFill="1" applyBorder="1" applyAlignment="1">
      <alignment horizontal="right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L32"/>
  <sheetViews>
    <sheetView tabSelected="1" workbookViewId="0"/>
  </sheetViews>
  <sheetFormatPr defaultRowHeight="16.899999999999999" x14ac:dyDescent="0.6"/>
  <cols>
    <col min="8" max="8" width="15.1875" bestFit="1" customWidth="1"/>
  </cols>
  <sheetData>
    <row r="1" spans="1:12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65</v>
      </c>
    </row>
    <row r="2" spans="1:12" x14ac:dyDescent="0.6">
      <c r="A2" s="2" t="s">
        <v>14</v>
      </c>
      <c r="B2" s="2" t="s">
        <v>15</v>
      </c>
      <c r="C2" s="2"/>
      <c r="D2" s="2" t="s">
        <v>16</v>
      </c>
      <c r="E2" s="2">
        <v>1</v>
      </c>
      <c r="F2" s="2" t="s">
        <v>7</v>
      </c>
      <c r="G2" s="2" t="s">
        <v>20</v>
      </c>
      <c r="H2" s="1">
        <f>SUM(부문별!G8,부문별!G39,부문별!G70)</f>
        <v>6438058</v>
      </c>
      <c r="L2" s="1"/>
    </row>
    <row r="3" spans="1:12" x14ac:dyDescent="0.6">
      <c r="A3" s="2" t="s">
        <v>14</v>
      </c>
      <c r="B3" s="2" t="s">
        <v>15</v>
      </c>
      <c r="C3" s="2"/>
      <c r="D3" s="2" t="s">
        <v>16</v>
      </c>
      <c r="E3" s="2">
        <v>2</v>
      </c>
      <c r="F3" s="2" t="s">
        <v>8</v>
      </c>
      <c r="G3" s="2" t="s">
        <v>20</v>
      </c>
      <c r="H3" s="1">
        <f>부문별!G15+부문별!G46+부문별!G77</f>
        <v>1278134</v>
      </c>
    </row>
    <row r="4" spans="1:12" x14ac:dyDescent="0.6">
      <c r="A4" s="2" t="s">
        <v>14</v>
      </c>
      <c r="B4" s="2" t="s">
        <v>15</v>
      </c>
      <c r="C4" s="2"/>
      <c r="D4" s="2" t="s">
        <v>16</v>
      </c>
      <c r="E4">
        <v>3</v>
      </c>
      <c r="F4" s="2" t="s">
        <v>9</v>
      </c>
      <c r="G4" t="s">
        <v>20</v>
      </c>
      <c r="H4" s="1">
        <f>부문별!G25+부문별!G56+N(부문별!G87)</f>
        <v>186547</v>
      </c>
    </row>
    <row r="5" spans="1:12" x14ac:dyDescent="0.6">
      <c r="A5" s="2" t="s">
        <v>14</v>
      </c>
      <c r="B5" s="2" t="s">
        <v>15</v>
      </c>
      <c r="C5" s="2"/>
      <c r="D5" s="2" t="s">
        <v>16</v>
      </c>
      <c r="E5" s="2">
        <v>4</v>
      </c>
      <c r="F5" s="2" t="s">
        <v>13</v>
      </c>
      <c r="G5" t="s">
        <v>20</v>
      </c>
      <c r="H5" s="1">
        <f t="shared" ref="H5" si="0">H7-H6-H4-H3-H2</f>
        <v>-803782</v>
      </c>
    </row>
    <row r="6" spans="1:12" x14ac:dyDescent="0.6">
      <c r="A6" s="2" t="s">
        <v>14</v>
      </c>
      <c r="B6" s="2" t="s">
        <v>15</v>
      </c>
      <c r="C6" s="2"/>
      <c r="D6" s="2" t="s">
        <v>16</v>
      </c>
      <c r="E6" s="2">
        <v>5</v>
      </c>
      <c r="F6" s="2" t="s">
        <v>10</v>
      </c>
      <c r="G6" t="s">
        <v>20</v>
      </c>
      <c r="H6" s="1">
        <f>부문별!G17+부문별!G48+부문별!G79</f>
        <v>-587996</v>
      </c>
    </row>
    <row r="7" spans="1:12" x14ac:dyDescent="0.6">
      <c r="A7" s="2" t="s">
        <v>14</v>
      </c>
      <c r="B7" s="2" t="s">
        <v>15</v>
      </c>
      <c r="C7" s="2"/>
      <c r="D7" s="2" t="s">
        <v>16</v>
      </c>
      <c r="E7" s="2">
        <v>6</v>
      </c>
      <c r="F7" s="2" t="s">
        <v>11</v>
      </c>
      <c r="G7" t="s">
        <v>20</v>
      </c>
      <c r="H7" s="1">
        <f>부문별!G29+부문별!G60+부문별!G91</f>
        <v>6510961</v>
      </c>
    </row>
    <row r="8" spans="1:12" x14ac:dyDescent="0.6">
      <c r="A8" s="2"/>
      <c r="B8" s="2"/>
      <c r="C8" s="2"/>
      <c r="D8" s="2"/>
      <c r="H8" s="1"/>
    </row>
    <row r="9" spans="1:12" x14ac:dyDescent="0.6">
      <c r="A9" s="2"/>
      <c r="B9" s="2"/>
      <c r="C9" s="2"/>
      <c r="D9" s="2"/>
    </row>
    <row r="10" spans="1:12" x14ac:dyDescent="0.6">
      <c r="A10" s="2"/>
      <c r="B10" s="2"/>
      <c r="C10" s="2"/>
      <c r="D10" s="2"/>
      <c r="H10" s="1"/>
    </row>
    <row r="11" spans="1:12" x14ac:dyDescent="0.6">
      <c r="A11" s="2"/>
      <c r="B11" s="2"/>
      <c r="C11" s="2"/>
      <c r="D11" s="2"/>
      <c r="H11" s="1"/>
    </row>
    <row r="12" spans="1:12" x14ac:dyDescent="0.6">
      <c r="A12" s="2"/>
      <c r="B12" s="2"/>
      <c r="C12" s="2"/>
      <c r="D12" s="2"/>
    </row>
    <row r="13" spans="1:12" x14ac:dyDescent="0.6">
      <c r="A13" s="2"/>
      <c r="B13" s="2"/>
      <c r="C13" s="2"/>
      <c r="D13" s="2"/>
      <c r="H13" s="1"/>
    </row>
    <row r="14" spans="1:12" x14ac:dyDescent="0.6">
      <c r="A14" s="2"/>
      <c r="B14" s="2"/>
      <c r="C14" s="2"/>
      <c r="D14" s="2"/>
      <c r="H14" s="1"/>
    </row>
    <row r="15" spans="1:12" x14ac:dyDescent="0.6">
      <c r="A15" s="2"/>
      <c r="B15" s="2"/>
      <c r="C15" s="2"/>
      <c r="D15" s="2"/>
      <c r="H15" s="1"/>
    </row>
    <row r="16" spans="1:12" x14ac:dyDescent="0.6">
      <c r="A16" s="2"/>
      <c r="B16" s="2"/>
      <c r="C16" s="2"/>
      <c r="D16" s="2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  <row r="22" spans="1:8" x14ac:dyDescent="0.6">
      <c r="H22" s="1" t="e">
        <f>SUM(부문별!#REF!)</f>
        <v>#REF!</v>
      </c>
    </row>
    <row r="23" spans="1:8" x14ac:dyDescent="0.6">
      <c r="H23" s="1" t="e">
        <f>SUM(부문별!#REF!)</f>
        <v>#REF!</v>
      </c>
    </row>
    <row r="24" spans="1:8" x14ac:dyDescent="0.6">
      <c r="H24" s="1" t="e">
        <f>SUM(부문별!#REF!)</f>
        <v>#REF!</v>
      </c>
    </row>
    <row r="25" spans="1:8" x14ac:dyDescent="0.6">
      <c r="H25" s="1" t="e">
        <f t="shared" ref="H25" si="1">H27-H26-H24-H23-H22</f>
        <v>#REF!</v>
      </c>
    </row>
    <row r="26" spans="1:8" x14ac:dyDescent="0.6">
      <c r="H26" s="1" t="e">
        <f>SUM(부문별!#REF!)</f>
        <v>#REF!</v>
      </c>
    </row>
    <row r="27" spans="1:8" x14ac:dyDescent="0.6">
      <c r="H27" s="1" t="e">
        <f>SUM(부문별!#REF!)</f>
        <v>#REF!</v>
      </c>
    </row>
    <row r="31" spans="1:8" x14ac:dyDescent="0.6">
      <c r="H31" s="1" t="e">
        <f>SUM(부문별!#REF!)</f>
        <v>#REF!</v>
      </c>
    </row>
    <row r="32" spans="1:8" x14ac:dyDescent="0.6">
      <c r="H32" s="1" t="e">
        <f>SUM(부문별!#REF!)</f>
        <v>#REF!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H94"/>
  <sheetViews>
    <sheetView topLeftCell="A27" zoomScale="71" zoomScaleNormal="40" workbookViewId="0">
      <selection activeCell="G87" sqref="G87"/>
    </sheetView>
  </sheetViews>
  <sheetFormatPr defaultRowHeight="16.899999999999999" x14ac:dyDescent="0.6"/>
  <sheetData>
    <row r="1" spans="1:8" ht="49.9" x14ac:dyDescent="0.6">
      <c r="A1" s="3" t="s">
        <v>21</v>
      </c>
    </row>
    <row r="2" spans="1:8" x14ac:dyDescent="0.6">
      <c r="A2" s="3" t="s">
        <v>22</v>
      </c>
    </row>
    <row r="3" spans="1:8" x14ac:dyDescent="0.6">
      <c r="A3" s="3" t="s">
        <v>23</v>
      </c>
    </row>
    <row r="4" spans="1:8" x14ac:dyDescent="0.6">
      <c r="A4" s="22" t="s">
        <v>24</v>
      </c>
      <c r="B4" s="23"/>
      <c r="C4" s="23"/>
      <c r="D4" s="23"/>
      <c r="E4" s="23"/>
      <c r="F4" s="23"/>
      <c r="G4" s="23"/>
      <c r="H4" s="24"/>
    </row>
    <row r="5" spans="1:8" ht="25.5" x14ac:dyDescent="0.6">
      <c r="A5" s="25" t="s">
        <v>25</v>
      </c>
      <c r="B5" s="4" t="s">
        <v>17</v>
      </c>
      <c r="C5" s="4" t="s">
        <v>26</v>
      </c>
      <c r="D5" s="28" t="s">
        <v>12</v>
      </c>
      <c r="E5" s="29"/>
      <c r="F5" s="29"/>
      <c r="G5" s="30"/>
      <c r="H5" s="11" t="s">
        <v>28</v>
      </c>
    </row>
    <row r="6" spans="1:8" ht="25.5" x14ac:dyDescent="0.6">
      <c r="A6" s="26"/>
      <c r="B6" s="5" t="s">
        <v>18</v>
      </c>
      <c r="C6" s="5" t="s">
        <v>27</v>
      </c>
      <c r="D6" s="4" t="s">
        <v>30</v>
      </c>
      <c r="E6" s="4" t="s">
        <v>32</v>
      </c>
      <c r="F6" s="4" t="s">
        <v>33</v>
      </c>
      <c r="G6" s="31" t="s">
        <v>35</v>
      </c>
      <c r="H6" s="12" t="s">
        <v>29</v>
      </c>
    </row>
    <row r="7" spans="1:8" ht="25.5" x14ac:dyDescent="0.6">
      <c r="A7" s="27"/>
      <c r="B7" s="6"/>
      <c r="C7" s="6"/>
      <c r="D7" s="6" t="s">
        <v>31</v>
      </c>
      <c r="E7" s="6" t="s">
        <v>31</v>
      </c>
      <c r="F7" s="6" t="s">
        <v>34</v>
      </c>
      <c r="G7" s="32"/>
      <c r="H7" s="13"/>
    </row>
    <row r="8" spans="1:8" ht="38.25" x14ac:dyDescent="0.6">
      <c r="A8" s="14" t="s">
        <v>36</v>
      </c>
      <c r="B8" s="7">
        <v>27105508</v>
      </c>
      <c r="C8" s="7">
        <v>131303</v>
      </c>
      <c r="D8" s="7">
        <v>9408</v>
      </c>
      <c r="E8" s="7">
        <v>150613</v>
      </c>
      <c r="F8" s="7">
        <v>8649</v>
      </c>
      <c r="G8" s="7">
        <v>168670</v>
      </c>
      <c r="H8" s="15">
        <v>27405481</v>
      </c>
    </row>
    <row r="9" spans="1:8" ht="38.25" x14ac:dyDescent="0.6">
      <c r="A9" s="14" t="s">
        <v>37</v>
      </c>
      <c r="B9" s="8" t="s">
        <v>19</v>
      </c>
      <c r="C9" s="8" t="s">
        <v>19</v>
      </c>
      <c r="D9" s="8" t="s">
        <v>19</v>
      </c>
      <c r="E9" s="8" t="s">
        <v>19</v>
      </c>
      <c r="F9" s="8" t="s">
        <v>19</v>
      </c>
      <c r="G9" s="8" t="s">
        <v>19</v>
      </c>
      <c r="H9" s="16" t="s">
        <v>19</v>
      </c>
    </row>
    <row r="10" spans="1:8" ht="38.25" x14ac:dyDescent="0.6">
      <c r="A10" s="14" t="s">
        <v>38</v>
      </c>
      <c r="B10" s="7">
        <v>27105508</v>
      </c>
      <c r="C10" s="7">
        <v>131303</v>
      </c>
      <c r="D10" s="7">
        <v>9408</v>
      </c>
      <c r="E10" s="7">
        <v>150613</v>
      </c>
      <c r="F10" s="7">
        <v>8649</v>
      </c>
      <c r="G10" s="7">
        <v>168670</v>
      </c>
      <c r="H10" s="15">
        <v>27405481</v>
      </c>
    </row>
    <row r="11" spans="1:8" ht="25.5" x14ac:dyDescent="0.6">
      <c r="A11" s="14" t="s">
        <v>39</v>
      </c>
      <c r="B11" s="7">
        <v>27105508</v>
      </c>
      <c r="C11" s="7">
        <v>131303</v>
      </c>
      <c r="D11" s="7">
        <v>9408</v>
      </c>
      <c r="E11" s="7">
        <v>150613</v>
      </c>
      <c r="F11" s="7">
        <v>8649</v>
      </c>
      <c r="G11" s="7">
        <v>168670</v>
      </c>
      <c r="H11" s="15">
        <v>27405481</v>
      </c>
    </row>
    <row r="12" spans="1:8" ht="38.25" x14ac:dyDescent="0.6">
      <c r="A12" s="14" t="s">
        <v>40</v>
      </c>
      <c r="B12" s="7">
        <v>262768</v>
      </c>
      <c r="C12" s="8">
        <v>932</v>
      </c>
      <c r="D12" s="8">
        <v>686</v>
      </c>
      <c r="E12" s="7">
        <v>-3337</v>
      </c>
      <c r="F12" s="8">
        <v>515</v>
      </c>
      <c r="G12" s="7">
        <v>-2136</v>
      </c>
      <c r="H12" s="15">
        <v>261564</v>
      </c>
    </row>
    <row r="13" spans="1:8" ht="63.75" x14ac:dyDescent="0.6">
      <c r="A13" s="14" t="s">
        <v>41</v>
      </c>
      <c r="B13" s="7">
        <v>6622</v>
      </c>
      <c r="C13" s="7">
        <v>-3224</v>
      </c>
      <c r="D13" s="8">
        <v>686</v>
      </c>
      <c r="E13" s="7">
        <v>-3337</v>
      </c>
      <c r="F13" s="8">
        <v>-747</v>
      </c>
      <c r="G13" s="7">
        <v>-3398</v>
      </c>
      <c r="H13" s="16">
        <v>0</v>
      </c>
    </row>
    <row r="14" spans="1:8" ht="63.75" x14ac:dyDescent="0.6">
      <c r="A14" s="14" t="s">
        <v>42</v>
      </c>
      <c r="B14" s="7">
        <v>257442</v>
      </c>
      <c r="C14" s="7">
        <v>4076</v>
      </c>
      <c r="D14" s="8" t="s">
        <v>19</v>
      </c>
      <c r="E14" s="8" t="s">
        <v>19</v>
      </c>
      <c r="F14" s="8" t="s">
        <v>19</v>
      </c>
      <c r="G14" s="8" t="s">
        <v>19</v>
      </c>
      <c r="H14" s="15">
        <v>261518</v>
      </c>
    </row>
    <row r="15" spans="1:8" ht="38.25" x14ac:dyDescent="0.6">
      <c r="A15" s="14" t="s">
        <v>43</v>
      </c>
      <c r="B15" s="7">
        <v>-1296</v>
      </c>
      <c r="C15" s="8">
        <v>80</v>
      </c>
      <c r="D15" s="8" t="s">
        <v>19</v>
      </c>
      <c r="E15" s="8" t="s">
        <v>19</v>
      </c>
      <c r="F15" s="7">
        <v>1262</v>
      </c>
      <c r="G15" s="7">
        <v>1262</v>
      </c>
      <c r="H15" s="16">
        <v>46</v>
      </c>
    </row>
    <row r="16" spans="1:8" ht="38.25" x14ac:dyDescent="0.6">
      <c r="A16" s="14" t="s">
        <v>44</v>
      </c>
      <c r="B16" s="7">
        <v>12708</v>
      </c>
      <c r="C16" s="7">
        <v>-10382</v>
      </c>
      <c r="D16" s="8">
        <v>-837</v>
      </c>
      <c r="E16" s="7">
        <v>-17845</v>
      </c>
      <c r="F16" s="8">
        <v>-805</v>
      </c>
      <c r="G16" s="7">
        <v>-19487</v>
      </c>
      <c r="H16" s="15">
        <v>-17161</v>
      </c>
    </row>
    <row r="17" spans="1:8" ht="89.25" x14ac:dyDescent="0.6">
      <c r="A17" s="17" t="s">
        <v>66</v>
      </c>
      <c r="B17" s="9" t="s">
        <v>19</v>
      </c>
      <c r="C17" s="9" t="s">
        <v>19</v>
      </c>
      <c r="D17" s="9">
        <v>-837</v>
      </c>
      <c r="E17" s="10">
        <v>-17845</v>
      </c>
      <c r="F17" s="9">
        <v>-805</v>
      </c>
      <c r="G17" s="10">
        <v>-19487</v>
      </c>
      <c r="H17" s="18">
        <v>-19487</v>
      </c>
    </row>
    <row r="18" spans="1:8" ht="63.75" x14ac:dyDescent="0.6">
      <c r="A18" s="14" t="s">
        <v>45</v>
      </c>
      <c r="B18" s="8" t="s">
        <v>19</v>
      </c>
      <c r="C18" s="7">
        <v>-10382</v>
      </c>
      <c r="D18" s="8" t="s">
        <v>19</v>
      </c>
      <c r="E18" s="8" t="s">
        <v>19</v>
      </c>
      <c r="F18" s="8" t="s">
        <v>19</v>
      </c>
      <c r="G18" s="8" t="s">
        <v>19</v>
      </c>
      <c r="H18" s="15">
        <v>-10382</v>
      </c>
    </row>
    <row r="19" spans="1:8" ht="25.5" x14ac:dyDescent="0.6">
      <c r="A19" s="14" t="s">
        <v>46</v>
      </c>
      <c r="B19" s="7">
        <v>12708</v>
      </c>
      <c r="C19" s="8" t="s">
        <v>19</v>
      </c>
      <c r="D19" s="8" t="s">
        <v>19</v>
      </c>
      <c r="E19" s="8" t="s">
        <v>19</v>
      </c>
      <c r="F19" s="8" t="s">
        <v>19</v>
      </c>
      <c r="G19" s="8" t="s">
        <v>19</v>
      </c>
      <c r="H19" s="15">
        <v>12708</v>
      </c>
    </row>
    <row r="20" spans="1:8" ht="51" x14ac:dyDescent="0.6">
      <c r="A20" s="14" t="s">
        <v>47</v>
      </c>
      <c r="B20" s="7">
        <v>-13152</v>
      </c>
      <c r="C20" s="8" t="s">
        <v>19</v>
      </c>
      <c r="D20" s="8" t="s">
        <v>19</v>
      </c>
      <c r="E20" s="8" t="s">
        <v>19</v>
      </c>
      <c r="F20" s="8" t="s">
        <v>19</v>
      </c>
      <c r="G20" s="8" t="s">
        <v>19</v>
      </c>
      <c r="H20" s="15">
        <v>-13152</v>
      </c>
    </row>
    <row r="21" spans="1:8" ht="25.5" x14ac:dyDescent="0.6">
      <c r="A21" s="14" t="s">
        <v>48</v>
      </c>
      <c r="B21" s="7">
        <v>-1210019</v>
      </c>
      <c r="C21" s="8" t="s">
        <v>19</v>
      </c>
      <c r="D21" s="8" t="s">
        <v>19</v>
      </c>
      <c r="E21" s="8" t="s">
        <v>19</v>
      </c>
      <c r="F21" s="8" t="s">
        <v>19</v>
      </c>
      <c r="G21" s="8" t="s">
        <v>19</v>
      </c>
      <c r="H21" s="15">
        <v>-1210019</v>
      </c>
    </row>
    <row r="22" spans="1:8" ht="25.5" x14ac:dyDescent="0.6">
      <c r="A22" s="14" t="s">
        <v>49</v>
      </c>
      <c r="B22" s="7">
        <v>239778</v>
      </c>
      <c r="C22" s="8" t="s">
        <v>19</v>
      </c>
      <c r="D22" s="8" t="s">
        <v>19</v>
      </c>
      <c r="E22" s="8" t="s">
        <v>19</v>
      </c>
      <c r="F22" s="8" t="s">
        <v>19</v>
      </c>
      <c r="G22" s="8" t="s">
        <v>19</v>
      </c>
      <c r="H22" s="15">
        <v>239778</v>
      </c>
    </row>
    <row r="23" spans="1:8" ht="38.25" x14ac:dyDescent="0.6">
      <c r="A23" s="14" t="s">
        <v>50</v>
      </c>
      <c r="B23" s="7">
        <v>-2592</v>
      </c>
      <c r="C23" s="8" t="s">
        <v>19</v>
      </c>
      <c r="D23" s="8" t="s">
        <v>19</v>
      </c>
      <c r="E23" s="8" t="s">
        <v>19</v>
      </c>
      <c r="F23" s="8" t="s">
        <v>19</v>
      </c>
      <c r="G23" s="8" t="s">
        <v>19</v>
      </c>
      <c r="H23" s="15">
        <v>-2592</v>
      </c>
    </row>
    <row r="24" spans="1:8" ht="63.75" x14ac:dyDescent="0.6">
      <c r="A24" s="14" t="s">
        <v>51</v>
      </c>
      <c r="B24" s="7">
        <v>-1447205</v>
      </c>
      <c r="C24" s="8" t="s">
        <v>19</v>
      </c>
      <c r="D24" s="8" t="s">
        <v>19</v>
      </c>
      <c r="E24" s="8" t="s">
        <v>19</v>
      </c>
      <c r="F24" s="8" t="s">
        <v>19</v>
      </c>
      <c r="G24" s="8" t="s">
        <v>19</v>
      </c>
      <c r="H24" s="15">
        <v>-1447205</v>
      </c>
    </row>
    <row r="25" spans="1:8" ht="25.5" x14ac:dyDescent="0.6">
      <c r="A25" s="14" t="s">
        <v>52</v>
      </c>
      <c r="B25" s="7">
        <v>-98261</v>
      </c>
      <c r="C25" s="8">
        <v>-203</v>
      </c>
      <c r="D25" s="8">
        <v>238</v>
      </c>
      <c r="E25" s="7">
        <v>4384</v>
      </c>
      <c r="F25" s="8">
        <v>388</v>
      </c>
      <c r="G25" s="7">
        <v>5009</v>
      </c>
      <c r="H25" s="15">
        <v>-93455</v>
      </c>
    </row>
    <row r="26" spans="1:8" ht="25.5" x14ac:dyDescent="0.6">
      <c r="A26" s="14" t="s">
        <v>53</v>
      </c>
      <c r="B26" s="7">
        <v>772444</v>
      </c>
      <c r="C26" s="7">
        <v>3903</v>
      </c>
      <c r="D26" s="8">
        <v>238</v>
      </c>
      <c r="E26" s="7">
        <v>4384</v>
      </c>
      <c r="F26" s="8">
        <v>388</v>
      </c>
      <c r="G26" s="7">
        <v>5009</v>
      </c>
      <c r="H26" s="15">
        <v>781356</v>
      </c>
    </row>
    <row r="27" spans="1:8" ht="38.25" x14ac:dyDescent="0.6">
      <c r="A27" s="14" t="s">
        <v>54</v>
      </c>
      <c r="B27" s="7">
        <v>-870705</v>
      </c>
      <c r="C27" s="7">
        <v>-4106</v>
      </c>
      <c r="D27" s="8" t="s">
        <v>19</v>
      </c>
      <c r="E27" s="8" t="s">
        <v>19</v>
      </c>
      <c r="F27" s="8" t="s">
        <v>19</v>
      </c>
      <c r="G27" s="8" t="s">
        <v>19</v>
      </c>
      <c r="H27" s="15">
        <v>-874811</v>
      </c>
    </row>
    <row r="28" spans="1:8" x14ac:dyDescent="0.6">
      <c r="A28" s="14" t="s">
        <v>55</v>
      </c>
      <c r="B28" s="8">
        <v>907</v>
      </c>
      <c r="C28" s="8" t="s">
        <v>19</v>
      </c>
      <c r="D28" s="8" t="s">
        <v>19</v>
      </c>
      <c r="E28" s="8" t="s">
        <v>19</v>
      </c>
      <c r="F28" s="8" t="s">
        <v>19</v>
      </c>
      <c r="G28" s="8" t="s">
        <v>19</v>
      </c>
      <c r="H28" s="16">
        <v>907</v>
      </c>
    </row>
    <row r="29" spans="1:8" ht="38.25" x14ac:dyDescent="0.6">
      <c r="A29" s="14" t="s">
        <v>56</v>
      </c>
      <c r="B29" s="7">
        <v>26060459</v>
      </c>
      <c r="C29" s="7">
        <v>121650</v>
      </c>
      <c r="D29" s="7">
        <v>9495</v>
      </c>
      <c r="E29" s="7">
        <v>133815</v>
      </c>
      <c r="F29" s="7">
        <v>8746</v>
      </c>
      <c r="G29" s="7">
        <v>152057</v>
      </c>
      <c r="H29" s="15">
        <v>26334166</v>
      </c>
    </row>
    <row r="30" spans="1:8" ht="38.25" x14ac:dyDescent="0.6">
      <c r="A30" s="14" t="s">
        <v>57</v>
      </c>
      <c r="B30" s="8" t="s">
        <v>19</v>
      </c>
      <c r="C30" s="8" t="s">
        <v>19</v>
      </c>
      <c r="D30" s="8" t="s">
        <v>19</v>
      </c>
      <c r="E30" s="8" t="s">
        <v>19</v>
      </c>
      <c r="F30" s="8" t="s">
        <v>19</v>
      </c>
      <c r="G30" s="8" t="s">
        <v>19</v>
      </c>
      <c r="H30" s="16" t="s">
        <v>19</v>
      </c>
    </row>
    <row r="31" spans="1:8" ht="38.25" x14ac:dyDescent="0.6">
      <c r="A31" s="14" t="s">
        <v>58</v>
      </c>
      <c r="B31" s="7">
        <v>26060459</v>
      </c>
      <c r="C31" s="7">
        <v>121650</v>
      </c>
      <c r="D31" s="7">
        <v>9495</v>
      </c>
      <c r="E31" s="7">
        <v>133815</v>
      </c>
      <c r="F31" s="7">
        <v>8746</v>
      </c>
      <c r="G31" s="7">
        <v>152057</v>
      </c>
      <c r="H31" s="15">
        <v>26334166</v>
      </c>
    </row>
    <row r="32" spans="1:8" ht="25.5" x14ac:dyDescent="0.6">
      <c r="A32" s="19" t="s">
        <v>59</v>
      </c>
      <c r="B32" s="20">
        <v>26060459</v>
      </c>
      <c r="C32" s="20">
        <v>121650</v>
      </c>
      <c r="D32" s="20">
        <v>9495</v>
      </c>
      <c r="E32" s="20">
        <v>133815</v>
      </c>
      <c r="F32" s="20">
        <v>8746</v>
      </c>
      <c r="G32" s="20">
        <v>152057</v>
      </c>
      <c r="H32" s="21">
        <v>26334166</v>
      </c>
    </row>
    <row r="34" spans="1:8" x14ac:dyDescent="0.6">
      <c r="A34" s="3" t="s">
        <v>60</v>
      </c>
    </row>
    <row r="35" spans="1:8" x14ac:dyDescent="0.6">
      <c r="A35" s="22" t="s">
        <v>24</v>
      </c>
      <c r="B35" s="23"/>
      <c r="C35" s="23"/>
      <c r="D35" s="23"/>
      <c r="E35" s="23"/>
      <c r="F35" s="23"/>
      <c r="G35" s="23"/>
      <c r="H35" s="24"/>
    </row>
    <row r="36" spans="1:8" ht="25.5" x14ac:dyDescent="0.6">
      <c r="A36" s="25" t="s">
        <v>25</v>
      </c>
      <c r="B36" s="4" t="s">
        <v>17</v>
      </c>
      <c r="C36" s="4" t="s">
        <v>26</v>
      </c>
      <c r="D36" s="28" t="s">
        <v>12</v>
      </c>
      <c r="E36" s="29"/>
      <c r="F36" s="29"/>
      <c r="G36" s="30"/>
      <c r="H36" s="11" t="s">
        <v>28</v>
      </c>
    </row>
    <row r="37" spans="1:8" ht="25.5" x14ac:dyDescent="0.6">
      <c r="A37" s="26"/>
      <c r="B37" s="5" t="s">
        <v>18</v>
      </c>
      <c r="C37" s="5" t="s">
        <v>27</v>
      </c>
      <c r="D37" s="4" t="s">
        <v>30</v>
      </c>
      <c r="E37" s="4" t="s">
        <v>32</v>
      </c>
      <c r="F37" s="4" t="s">
        <v>33</v>
      </c>
      <c r="G37" s="31" t="s">
        <v>35</v>
      </c>
      <c r="H37" s="12" t="s">
        <v>29</v>
      </c>
    </row>
    <row r="38" spans="1:8" ht="25.5" x14ac:dyDescent="0.6">
      <c r="A38" s="27"/>
      <c r="B38" s="6"/>
      <c r="C38" s="6"/>
      <c r="D38" s="6" t="s">
        <v>31</v>
      </c>
      <c r="E38" s="6" t="s">
        <v>31</v>
      </c>
      <c r="F38" s="6" t="s">
        <v>34</v>
      </c>
      <c r="G38" s="32"/>
      <c r="H38" s="13"/>
    </row>
    <row r="39" spans="1:8" ht="38.25" x14ac:dyDescent="0.6">
      <c r="A39" s="14" t="s">
        <v>36</v>
      </c>
      <c r="B39" s="7">
        <v>46424629</v>
      </c>
      <c r="C39" s="7">
        <v>1046000</v>
      </c>
      <c r="D39" s="7">
        <v>1510393</v>
      </c>
      <c r="E39" s="7">
        <v>1604331</v>
      </c>
      <c r="F39" s="7">
        <v>2225065</v>
      </c>
      <c r="G39" s="7">
        <v>5339789</v>
      </c>
      <c r="H39" s="15">
        <v>52810417</v>
      </c>
    </row>
    <row r="40" spans="1:8" ht="38.25" x14ac:dyDescent="0.6">
      <c r="A40" s="14" t="s">
        <v>37</v>
      </c>
      <c r="B40" s="8" t="s">
        <v>19</v>
      </c>
      <c r="C40" s="8" t="s">
        <v>19</v>
      </c>
      <c r="D40" s="8" t="s">
        <v>19</v>
      </c>
      <c r="E40" s="8" t="s">
        <v>19</v>
      </c>
      <c r="F40" s="8" t="s">
        <v>19</v>
      </c>
      <c r="G40" s="8" t="s">
        <v>19</v>
      </c>
      <c r="H40" s="16" t="s">
        <v>19</v>
      </c>
    </row>
    <row r="41" spans="1:8" ht="38.25" x14ac:dyDescent="0.6">
      <c r="A41" s="14" t="s">
        <v>38</v>
      </c>
      <c r="B41" s="7">
        <v>46424629</v>
      </c>
      <c r="C41" s="7">
        <v>1046000</v>
      </c>
      <c r="D41" s="7">
        <v>1510393</v>
      </c>
      <c r="E41" s="7">
        <v>1604331</v>
      </c>
      <c r="F41" s="7">
        <v>2225065</v>
      </c>
      <c r="G41" s="7">
        <v>5339789</v>
      </c>
      <c r="H41" s="15">
        <v>52810417</v>
      </c>
    </row>
    <row r="42" spans="1:8" ht="25.5" x14ac:dyDescent="0.6">
      <c r="A42" s="14" t="s">
        <v>39</v>
      </c>
      <c r="B42" s="7">
        <v>46424629</v>
      </c>
      <c r="C42" s="7">
        <v>1046000</v>
      </c>
      <c r="D42" s="7">
        <v>1510393</v>
      </c>
      <c r="E42" s="7">
        <v>1604331</v>
      </c>
      <c r="F42" s="7">
        <v>2225065</v>
      </c>
      <c r="G42" s="7">
        <v>5339789</v>
      </c>
      <c r="H42" s="15">
        <v>52810417</v>
      </c>
    </row>
    <row r="43" spans="1:8" ht="38.25" x14ac:dyDescent="0.6">
      <c r="A43" s="14" t="s">
        <v>40</v>
      </c>
      <c r="B43" s="7">
        <v>-639448</v>
      </c>
      <c r="C43" s="7">
        <v>147235</v>
      </c>
      <c r="D43" s="7">
        <v>-241446</v>
      </c>
      <c r="E43" s="7">
        <v>34895</v>
      </c>
      <c r="F43" s="7">
        <v>889069</v>
      </c>
      <c r="G43" s="7">
        <v>682518</v>
      </c>
      <c r="H43" s="15">
        <v>190306</v>
      </c>
    </row>
    <row r="44" spans="1:8" ht="63.75" x14ac:dyDescent="0.6">
      <c r="A44" s="14" t="s">
        <v>41</v>
      </c>
      <c r="B44" s="7">
        <v>600664</v>
      </c>
      <c r="C44" s="7">
        <v>-8294</v>
      </c>
      <c r="D44" s="7">
        <v>-241446</v>
      </c>
      <c r="E44" s="7">
        <v>34895</v>
      </c>
      <c r="F44" s="7">
        <v>-385819</v>
      </c>
      <c r="G44" s="7">
        <v>-592370</v>
      </c>
      <c r="H44" s="16" t="s">
        <v>19</v>
      </c>
    </row>
    <row r="45" spans="1:8" ht="63.75" x14ac:dyDescent="0.6">
      <c r="A45" s="14" t="s">
        <v>42</v>
      </c>
      <c r="B45" s="7">
        <v>87121</v>
      </c>
      <c r="C45" s="7">
        <v>1379</v>
      </c>
      <c r="D45" s="8" t="s">
        <v>19</v>
      </c>
      <c r="E45" s="8" t="s">
        <v>19</v>
      </c>
      <c r="F45" s="8" t="s">
        <v>19</v>
      </c>
      <c r="G45" s="8" t="s">
        <v>19</v>
      </c>
      <c r="H45" s="15">
        <v>88500</v>
      </c>
    </row>
    <row r="46" spans="1:8" ht="38.25" x14ac:dyDescent="0.6">
      <c r="A46" s="14" t="s">
        <v>43</v>
      </c>
      <c r="B46" s="7">
        <v>-1327233</v>
      </c>
      <c r="C46" s="7">
        <v>154150</v>
      </c>
      <c r="D46" s="8" t="s">
        <v>19</v>
      </c>
      <c r="E46" s="8" t="s">
        <v>19</v>
      </c>
      <c r="F46" s="7">
        <v>1274888</v>
      </c>
      <c r="G46" s="7">
        <v>1274888</v>
      </c>
      <c r="H46" s="15">
        <v>101806</v>
      </c>
    </row>
    <row r="47" spans="1:8" ht="38.25" x14ac:dyDescent="0.6">
      <c r="A47" s="14" t="s">
        <v>44</v>
      </c>
      <c r="B47" s="7">
        <v>-122686</v>
      </c>
      <c r="C47" s="7">
        <v>-130208</v>
      </c>
      <c r="D47" s="7">
        <v>-116701</v>
      </c>
      <c r="E47" s="7">
        <v>-111415</v>
      </c>
      <c r="F47" s="7">
        <v>-272257</v>
      </c>
      <c r="G47" s="7">
        <v>-500373</v>
      </c>
      <c r="H47" s="15">
        <v>-753267</v>
      </c>
    </row>
    <row r="48" spans="1:8" ht="89.25" x14ac:dyDescent="0.6">
      <c r="A48" s="17" t="s">
        <v>66</v>
      </c>
      <c r="B48" s="9" t="s">
        <v>19</v>
      </c>
      <c r="C48" s="9" t="s">
        <v>19</v>
      </c>
      <c r="D48" s="10">
        <v>-116701</v>
      </c>
      <c r="E48" s="10">
        <v>-111415</v>
      </c>
      <c r="F48" s="10">
        <v>-272257</v>
      </c>
      <c r="G48" s="10">
        <v>-500373</v>
      </c>
      <c r="H48" s="18">
        <v>-500373</v>
      </c>
    </row>
    <row r="49" spans="1:8" ht="63.75" x14ac:dyDescent="0.6">
      <c r="A49" s="14" t="s">
        <v>45</v>
      </c>
      <c r="B49" s="8" t="s">
        <v>19</v>
      </c>
      <c r="C49" s="7">
        <v>-130208</v>
      </c>
      <c r="D49" s="8" t="s">
        <v>19</v>
      </c>
      <c r="E49" s="8" t="s">
        <v>19</v>
      </c>
      <c r="F49" s="8" t="s">
        <v>19</v>
      </c>
      <c r="G49" s="8" t="s">
        <v>19</v>
      </c>
      <c r="H49" s="15">
        <v>-130208</v>
      </c>
    </row>
    <row r="50" spans="1:8" ht="25.5" x14ac:dyDescent="0.6">
      <c r="A50" s="14" t="s">
        <v>46</v>
      </c>
      <c r="B50" s="7">
        <v>-122686</v>
      </c>
      <c r="C50" s="8" t="s">
        <v>19</v>
      </c>
      <c r="D50" s="8" t="s">
        <v>19</v>
      </c>
      <c r="E50" s="8" t="s">
        <v>19</v>
      </c>
      <c r="F50" s="8" t="s">
        <v>19</v>
      </c>
      <c r="G50" s="8" t="s">
        <v>19</v>
      </c>
      <c r="H50" s="15">
        <v>-122686</v>
      </c>
    </row>
    <row r="51" spans="1:8" ht="51" x14ac:dyDescent="0.6">
      <c r="A51" s="14" t="s">
        <v>47</v>
      </c>
      <c r="B51" s="7">
        <v>-52720</v>
      </c>
      <c r="C51" s="8" t="s">
        <v>19</v>
      </c>
      <c r="D51" s="8" t="s">
        <v>19</v>
      </c>
      <c r="E51" s="8" t="s">
        <v>19</v>
      </c>
      <c r="F51" s="8" t="s">
        <v>19</v>
      </c>
      <c r="G51" s="8" t="s">
        <v>19</v>
      </c>
      <c r="H51" s="15">
        <v>-52720</v>
      </c>
    </row>
    <row r="52" spans="1:8" ht="25.5" x14ac:dyDescent="0.6">
      <c r="A52" s="14" t="s">
        <v>48</v>
      </c>
      <c r="B52" s="7">
        <v>2534035</v>
      </c>
      <c r="C52" s="8" t="s">
        <v>19</v>
      </c>
      <c r="D52" s="8" t="s">
        <v>19</v>
      </c>
      <c r="E52" s="8" t="s">
        <v>19</v>
      </c>
      <c r="F52" s="8" t="s">
        <v>19</v>
      </c>
      <c r="G52" s="8" t="s">
        <v>19</v>
      </c>
      <c r="H52" s="15">
        <v>2534035</v>
      </c>
    </row>
    <row r="53" spans="1:8" ht="25.5" x14ac:dyDescent="0.6">
      <c r="A53" s="14" t="s">
        <v>49</v>
      </c>
      <c r="B53" s="7">
        <v>11087532</v>
      </c>
      <c r="C53" s="8" t="s">
        <v>19</v>
      </c>
      <c r="D53" s="8" t="s">
        <v>19</v>
      </c>
      <c r="E53" s="8" t="s">
        <v>19</v>
      </c>
      <c r="F53" s="8" t="s">
        <v>19</v>
      </c>
      <c r="G53" s="8" t="s">
        <v>19</v>
      </c>
      <c r="H53" s="15">
        <v>11087532</v>
      </c>
    </row>
    <row r="54" spans="1:8" ht="38.25" x14ac:dyDescent="0.6">
      <c r="A54" s="14" t="s">
        <v>50</v>
      </c>
      <c r="B54" s="7">
        <v>-1660363</v>
      </c>
      <c r="C54" s="8" t="s">
        <v>19</v>
      </c>
      <c r="D54" s="8" t="s">
        <v>19</v>
      </c>
      <c r="E54" s="8" t="s">
        <v>19</v>
      </c>
      <c r="F54" s="8" t="s">
        <v>19</v>
      </c>
      <c r="G54" s="8" t="s">
        <v>19</v>
      </c>
      <c r="H54" s="15">
        <v>-1660363</v>
      </c>
    </row>
    <row r="55" spans="1:8" ht="63.75" x14ac:dyDescent="0.6">
      <c r="A55" s="14" t="s">
        <v>51</v>
      </c>
      <c r="B55" s="7">
        <v>-6893134</v>
      </c>
      <c r="C55" s="8" t="s">
        <v>19</v>
      </c>
      <c r="D55" s="8" t="s">
        <v>19</v>
      </c>
      <c r="E55" s="8" t="s">
        <v>19</v>
      </c>
      <c r="F55" s="8" t="s">
        <v>19</v>
      </c>
      <c r="G55" s="8" t="s">
        <v>19</v>
      </c>
      <c r="H55" s="15">
        <v>-6893134</v>
      </c>
    </row>
    <row r="56" spans="1:8" ht="25.5" x14ac:dyDescent="0.6">
      <c r="A56" s="14" t="s">
        <v>52</v>
      </c>
      <c r="B56" s="7">
        <v>-549102</v>
      </c>
      <c r="C56" s="7">
        <v>33477</v>
      </c>
      <c r="D56" s="7">
        <v>36799</v>
      </c>
      <c r="E56" s="7">
        <v>41209</v>
      </c>
      <c r="F56" s="7">
        <v>103530</v>
      </c>
      <c r="G56" s="7">
        <v>181538</v>
      </c>
      <c r="H56" s="15">
        <v>-334087</v>
      </c>
    </row>
    <row r="57" spans="1:8" ht="25.5" x14ac:dyDescent="0.6">
      <c r="A57" s="14" t="s">
        <v>53</v>
      </c>
      <c r="B57" s="7">
        <v>1584659</v>
      </c>
      <c r="C57" s="7">
        <v>38635</v>
      </c>
      <c r="D57" s="7">
        <v>36799</v>
      </c>
      <c r="E57" s="7">
        <v>41209</v>
      </c>
      <c r="F57" s="7">
        <v>103530</v>
      </c>
      <c r="G57" s="7">
        <v>181538</v>
      </c>
      <c r="H57" s="15">
        <v>1804832</v>
      </c>
    </row>
    <row r="58" spans="1:8" ht="38.25" x14ac:dyDescent="0.6">
      <c r="A58" s="14" t="s">
        <v>54</v>
      </c>
      <c r="B58" s="7">
        <v>-2133761</v>
      </c>
      <c r="C58" s="7">
        <v>-5158</v>
      </c>
      <c r="D58" s="8" t="s">
        <v>19</v>
      </c>
      <c r="E58" s="8" t="s">
        <v>19</v>
      </c>
      <c r="F58" s="8" t="s">
        <v>19</v>
      </c>
      <c r="G58" s="8" t="s">
        <v>19</v>
      </c>
      <c r="H58" s="15">
        <v>-2138919</v>
      </c>
    </row>
    <row r="59" spans="1:8" x14ac:dyDescent="0.6">
      <c r="A59" s="14" t="s">
        <v>55</v>
      </c>
      <c r="B59" s="7">
        <v>-4317</v>
      </c>
      <c r="C59" s="8" t="s">
        <v>19</v>
      </c>
      <c r="D59" s="8" t="s">
        <v>19</v>
      </c>
      <c r="E59" s="8" t="s">
        <v>19</v>
      </c>
      <c r="F59" s="8" t="s">
        <v>19</v>
      </c>
      <c r="G59" s="8" t="s">
        <v>19</v>
      </c>
      <c r="H59" s="15">
        <v>-4317</v>
      </c>
    </row>
    <row r="60" spans="1:8" ht="38.25" x14ac:dyDescent="0.6">
      <c r="A60" s="14" t="s">
        <v>56</v>
      </c>
      <c r="B60" s="7">
        <v>47590390</v>
      </c>
      <c r="C60" s="7">
        <v>1096503</v>
      </c>
      <c r="D60" s="7">
        <v>1189045</v>
      </c>
      <c r="E60" s="7">
        <v>1569020</v>
      </c>
      <c r="F60" s="7">
        <v>2945406</v>
      </c>
      <c r="G60" s="7">
        <v>5703472</v>
      </c>
      <c r="H60" s="15">
        <v>54390366</v>
      </c>
    </row>
    <row r="61" spans="1:8" ht="38.25" x14ac:dyDescent="0.6">
      <c r="A61" s="14" t="s">
        <v>61</v>
      </c>
      <c r="B61" s="8" t="s">
        <v>19</v>
      </c>
      <c r="C61" s="8" t="s">
        <v>19</v>
      </c>
      <c r="D61" s="8" t="s">
        <v>19</v>
      </c>
      <c r="E61" s="8" t="s">
        <v>19</v>
      </c>
      <c r="F61" s="8" t="s">
        <v>19</v>
      </c>
      <c r="G61" s="8" t="s">
        <v>19</v>
      </c>
      <c r="H61" s="16" t="s">
        <v>19</v>
      </c>
    </row>
    <row r="62" spans="1:8" ht="38.25" x14ac:dyDescent="0.6">
      <c r="A62" s="14" t="s">
        <v>62</v>
      </c>
      <c r="B62" s="7">
        <v>47590390</v>
      </c>
      <c r="C62" s="7">
        <v>1096503</v>
      </c>
      <c r="D62" s="7">
        <v>1189045</v>
      </c>
      <c r="E62" s="7">
        <v>1569020</v>
      </c>
      <c r="F62" s="7">
        <v>2945406</v>
      </c>
      <c r="G62" s="7">
        <v>5703472</v>
      </c>
      <c r="H62" s="15">
        <v>54390366</v>
      </c>
    </row>
    <row r="63" spans="1:8" ht="38.25" x14ac:dyDescent="0.6">
      <c r="A63" s="19" t="s">
        <v>63</v>
      </c>
      <c r="B63" s="20">
        <v>47590390</v>
      </c>
      <c r="C63" s="20">
        <v>1096503</v>
      </c>
      <c r="D63" s="20">
        <v>1189045</v>
      </c>
      <c r="E63" s="20">
        <v>1569020</v>
      </c>
      <c r="F63" s="20">
        <v>2945406</v>
      </c>
      <c r="G63" s="20">
        <v>5703472</v>
      </c>
      <c r="H63" s="21">
        <v>54390366</v>
      </c>
    </row>
    <row r="65" spans="1:8" x14ac:dyDescent="0.6">
      <c r="A65" s="3" t="s">
        <v>64</v>
      </c>
    </row>
    <row r="66" spans="1:8" x14ac:dyDescent="0.6">
      <c r="A66" s="22" t="s">
        <v>24</v>
      </c>
      <c r="B66" s="23"/>
      <c r="C66" s="23"/>
      <c r="D66" s="23"/>
      <c r="E66" s="23"/>
      <c r="F66" s="23"/>
      <c r="G66" s="23"/>
      <c r="H66" s="24"/>
    </row>
    <row r="67" spans="1:8" ht="25.5" x14ac:dyDescent="0.6">
      <c r="A67" s="25" t="s">
        <v>25</v>
      </c>
      <c r="B67" s="4" t="s">
        <v>17</v>
      </c>
      <c r="C67" s="4" t="s">
        <v>26</v>
      </c>
      <c r="D67" s="28" t="s">
        <v>12</v>
      </c>
      <c r="E67" s="29"/>
      <c r="F67" s="29"/>
      <c r="G67" s="30"/>
      <c r="H67" s="11" t="s">
        <v>28</v>
      </c>
    </row>
    <row r="68" spans="1:8" ht="25.5" x14ac:dyDescent="0.6">
      <c r="A68" s="26"/>
      <c r="B68" s="5" t="s">
        <v>18</v>
      </c>
      <c r="C68" s="5" t="s">
        <v>27</v>
      </c>
      <c r="D68" s="4" t="s">
        <v>30</v>
      </c>
      <c r="E68" s="4" t="s">
        <v>32</v>
      </c>
      <c r="F68" s="4" t="s">
        <v>33</v>
      </c>
      <c r="G68" s="31" t="s">
        <v>35</v>
      </c>
      <c r="H68" s="12" t="s">
        <v>29</v>
      </c>
    </row>
    <row r="69" spans="1:8" ht="25.5" x14ac:dyDescent="0.6">
      <c r="A69" s="27"/>
      <c r="B69" s="6"/>
      <c r="C69" s="6"/>
      <c r="D69" s="6" t="s">
        <v>31</v>
      </c>
      <c r="E69" s="6" t="s">
        <v>31</v>
      </c>
      <c r="F69" s="6" t="s">
        <v>34</v>
      </c>
      <c r="G69" s="32"/>
      <c r="H69" s="13"/>
    </row>
    <row r="70" spans="1:8" ht="38.25" x14ac:dyDescent="0.6">
      <c r="A70" s="14" t="s">
        <v>36</v>
      </c>
      <c r="B70" s="7">
        <v>13130752</v>
      </c>
      <c r="C70" s="7">
        <v>165035</v>
      </c>
      <c r="D70" s="7">
        <v>76219</v>
      </c>
      <c r="E70" s="7">
        <v>827620</v>
      </c>
      <c r="F70" s="7">
        <v>25760</v>
      </c>
      <c r="G70" s="7">
        <v>929599</v>
      </c>
      <c r="H70" s="15">
        <v>14225386</v>
      </c>
    </row>
    <row r="71" spans="1:8" ht="38.25" x14ac:dyDescent="0.6">
      <c r="A71" s="14" t="s">
        <v>37</v>
      </c>
      <c r="B71" s="8" t="s">
        <v>19</v>
      </c>
      <c r="C71" s="8" t="s">
        <v>19</v>
      </c>
      <c r="D71" s="8" t="s">
        <v>19</v>
      </c>
      <c r="E71" s="8" t="s">
        <v>19</v>
      </c>
      <c r="F71" s="8" t="s">
        <v>19</v>
      </c>
      <c r="G71" s="8" t="s">
        <v>19</v>
      </c>
      <c r="H71" s="16" t="s">
        <v>19</v>
      </c>
    </row>
    <row r="72" spans="1:8" ht="38.25" x14ac:dyDescent="0.6">
      <c r="A72" s="14" t="s">
        <v>38</v>
      </c>
      <c r="B72" s="7">
        <v>13130752</v>
      </c>
      <c r="C72" s="7">
        <v>165035</v>
      </c>
      <c r="D72" s="7">
        <v>76219</v>
      </c>
      <c r="E72" s="7">
        <v>827620</v>
      </c>
      <c r="F72" s="7">
        <v>25760</v>
      </c>
      <c r="G72" s="7">
        <v>929599</v>
      </c>
      <c r="H72" s="15">
        <v>14225386</v>
      </c>
    </row>
    <row r="73" spans="1:8" ht="25.5" x14ac:dyDescent="0.6">
      <c r="A73" s="14" t="s">
        <v>39</v>
      </c>
      <c r="B73" s="7">
        <v>13130752</v>
      </c>
      <c r="C73" s="7">
        <v>165035</v>
      </c>
      <c r="D73" s="7">
        <v>76219</v>
      </c>
      <c r="E73" s="7">
        <v>827620</v>
      </c>
      <c r="F73" s="7">
        <v>25760</v>
      </c>
      <c r="G73" s="7">
        <v>929599</v>
      </c>
      <c r="H73" s="15">
        <v>14225386</v>
      </c>
    </row>
    <row r="74" spans="1:8" ht="38.25" x14ac:dyDescent="0.6">
      <c r="A74" s="14" t="s">
        <v>40</v>
      </c>
      <c r="B74" s="7">
        <v>193772</v>
      </c>
      <c r="C74" s="7">
        <v>12372</v>
      </c>
      <c r="D74" s="7">
        <v>-2260</v>
      </c>
      <c r="E74" s="7">
        <v>-205182</v>
      </c>
      <c r="F74" s="7">
        <v>1411</v>
      </c>
      <c r="G74" s="7">
        <v>-206031</v>
      </c>
      <c r="H74" s="16">
        <v>113</v>
      </c>
    </row>
    <row r="75" spans="1:8" ht="63.75" x14ac:dyDescent="0.6">
      <c r="A75" s="14" t="s">
        <v>41</v>
      </c>
      <c r="B75" s="7">
        <v>195824</v>
      </c>
      <c r="C75" s="7">
        <v>12192</v>
      </c>
      <c r="D75" s="7">
        <v>-2260</v>
      </c>
      <c r="E75" s="7">
        <v>-205182</v>
      </c>
      <c r="F75" s="8">
        <v>-574</v>
      </c>
      <c r="G75" s="7">
        <v>-208016</v>
      </c>
      <c r="H75" s="16" t="s">
        <v>19</v>
      </c>
    </row>
    <row r="76" spans="1:8" ht="63.75" x14ac:dyDescent="0.6">
      <c r="A76" s="14" t="s">
        <v>42</v>
      </c>
      <c r="B76" s="8">
        <v>35</v>
      </c>
      <c r="C76" s="8">
        <v>1</v>
      </c>
      <c r="D76" s="8" t="s">
        <v>19</v>
      </c>
      <c r="E76" s="8" t="s">
        <v>19</v>
      </c>
      <c r="F76" s="8" t="s">
        <v>19</v>
      </c>
      <c r="G76" s="8" t="s">
        <v>19</v>
      </c>
      <c r="H76" s="16">
        <v>36</v>
      </c>
    </row>
    <row r="77" spans="1:8" ht="38.25" x14ac:dyDescent="0.6">
      <c r="A77" s="14" t="s">
        <v>43</v>
      </c>
      <c r="B77" s="7">
        <v>-2087</v>
      </c>
      <c r="C77" s="8">
        <v>180</v>
      </c>
      <c r="D77" s="8" t="s">
        <v>19</v>
      </c>
      <c r="E77" s="8" t="s">
        <v>19</v>
      </c>
      <c r="F77" s="7">
        <v>1984</v>
      </c>
      <c r="G77" s="7">
        <v>1984</v>
      </c>
      <c r="H77" s="16">
        <v>77</v>
      </c>
    </row>
    <row r="78" spans="1:8" ht="38.25" x14ac:dyDescent="0.6">
      <c r="A78" s="14" t="s">
        <v>44</v>
      </c>
      <c r="B78" s="7">
        <v>23685</v>
      </c>
      <c r="C78" s="7">
        <v>-13731</v>
      </c>
      <c r="D78" s="7">
        <v>-6032</v>
      </c>
      <c r="E78" s="7">
        <v>-60173</v>
      </c>
      <c r="F78" s="7">
        <v>-1930</v>
      </c>
      <c r="G78" s="7">
        <v>-68136</v>
      </c>
      <c r="H78" s="15">
        <v>-58182</v>
      </c>
    </row>
    <row r="79" spans="1:8" ht="89.25" x14ac:dyDescent="0.6">
      <c r="A79" s="17" t="s">
        <v>66</v>
      </c>
      <c r="B79" s="9" t="s">
        <v>19</v>
      </c>
      <c r="C79" s="9" t="s">
        <v>19</v>
      </c>
      <c r="D79" s="10">
        <v>-6032</v>
      </c>
      <c r="E79" s="10">
        <v>-60173</v>
      </c>
      <c r="F79" s="10">
        <v>-1930</v>
      </c>
      <c r="G79" s="10">
        <v>-68136</v>
      </c>
      <c r="H79" s="18">
        <v>-68136</v>
      </c>
    </row>
    <row r="80" spans="1:8" ht="63.75" x14ac:dyDescent="0.6">
      <c r="A80" s="14" t="s">
        <v>45</v>
      </c>
      <c r="B80" s="8" t="s">
        <v>19</v>
      </c>
      <c r="C80" s="7">
        <v>-13731</v>
      </c>
      <c r="D80" s="8" t="s">
        <v>19</v>
      </c>
      <c r="E80" s="8" t="s">
        <v>19</v>
      </c>
      <c r="F80" s="8" t="s">
        <v>19</v>
      </c>
      <c r="G80" s="8" t="s">
        <v>19</v>
      </c>
      <c r="H80" s="15">
        <v>-13731</v>
      </c>
    </row>
    <row r="81" spans="1:8" ht="25.5" x14ac:dyDescent="0.6">
      <c r="A81" s="14" t="s">
        <v>46</v>
      </c>
      <c r="B81" s="7">
        <v>23685</v>
      </c>
      <c r="C81" s="8" t="s">
        <v>19</v>
      </c>
      <c r="D81" s="8" t="s">
        <v>19</v>
      </c>
      <c r="E81" s="8" t="s">
        <v>19</v>
      </c>
      <c r="F81" s="8" t="s">
        <v>19</v>
      </c>
      <c r="G81" s="8" t="s">
        <v>19</v>
      </c>
      <c r="H81" s="15">
        <v>23685</v>
      </c>
    </row>
    <row r="82" spans="1:8" ht="51" x14ac:dyDescent="0.6">
      <c r="A82" s="14" t="s">
        <v>47</v>
      </c>
      <c r="B82" s="7">
        <v>-3764</v>
      </c>
      <c r="C82" s="8" t="s">
        <v>19</v>
      </c>
      <c r="D82" s="8" t="s">
        <v>19</v>
      </c>
      <c r="E82" s="8" t="s">
        <v>19</v>
      </c>
      <c r="F82" s="8" t="s">
        <v>19</v>
      </c>
      <c r="G82" s="8" t="s">
        <v>19</v>
      </c>
      <c r="H82" s="15">
        <v>-3764</v>
      </c>
    </row>
    <row r="83" spans="1:8" ht="25.5" x14ac:dyDescent="0.6">
      <c r="A83" s="14" t="s">
        <v>48</v>
      </c>
      <c r="B83" s="7">
        <v>-736343</v>
      </c>
      <c r="C83" s="8" t="s">
        <v>19</v>
      </c>
      <c r="D83" s="8" t="s">
        <v>19</v>
      </c>
      <c r="E83" s="8" t="s">
        <v>19</v>
      </c>
      <c r="F83" s="8" t="s">
        <v>19</v>
      </c>
      <c r="G83" s="8" t="s">
        <v>19</v>
      </c>
      <c r="H83" s="15">
        <v>-736343</v>
      </c>
    </row>
    <row r="84" spans="1:8" ht="25.5" x14ac:dyDescent="0.6">
      <c r="A84" s="14" t="s">
        <v>49</v>
      </c>
      <c r="B84" s="7">
        <v>1161339</v>
      </c>
      <c r="C84" s="8" t="s">
        <v>19</v>
      </c>
      <c r="D84" s="8" t="s">
        <v>19</v>
      </c>
      <c r="E84" s="8" t="s">
        <v>19</v>
      </c>
      <c r="F84" s="8" t="s">
        <v>19</v>
      </c>
      <c r="G84" s="8" t="s">
        <v>19</v>
      </c>
      <c r="H84" s="15">
        <v>1161339</v>
      </c>
    </row>
    <row r="85" spans="1:8" ht="38.25" x14ac:dyDescent="0.6">
      <c r="A85" s="14" t="s">
        <v>50</v>
      </c>
      <c r="B85" s="7">
        <v>-6891</v>
      </c>
      <c r="C85" s="8" t="s">
        <v>19</v>
      </c>
      <c r="D85" s="8" t="s">
        <v>19</v>
      </c>
      <c r="E85" s="8" t="s">
        <v>19</v>
      </c>
      <c r="F85" s="8" t="s">
        <v>19</v>
      </c>
      <c r="G85" s="8" t="s">
        <v>19</v>
      </c>
      <c r="H85" s="15">
        <v>-6891</v>
      </c>
    </row>
    <row r="86" spans="1:8" ht="63.75" x14ac:dyDescent="0.6">
      <c r="A86" s="14" t="s">
        <v>51</v>
      </c>
      <c r="B86" s="7">
        <v>-1890791</v>
      </c>
      <c r="C86" s="8" t="s">
        <v>19</v>
      </c>
      <c r="D86" s="8" t="s">
        <v>19</v>
      </c>
      <c r="E86" s="8" t="s">
        <v>19</v>
      </c>
      <c r="F86" s="8" t="s">
        <v>19</v>
      </c>
      <c r="G86" s="8" t="s">
        <v>19</v>
      </c>
      <c r="H86" s="15">
        <v>-1890791</v>
      </c>
    </row>
    <row r="87" spans="1:8" ht="25.5" x14ac:dyDescent="0.6">
      <c r="A87" s="14" t="s">
        <v>52</v>
      </c>
      <c r="B87" s="7">
        <v>2681595</v>
      </c>
      <c r="C87" s="8" t="s">
        <v>19</v>
      </c>
      <c r="D87" s="8" t="s">
        <v>19</v>
      </c>
      <c r="E87" s="8" t="s">
        <v>19</v>
      </c>
      <c r="F87" s="8" t="s">
        <v>19</v>
      </c>
      <c r="G87" s="8" t="s">
        <v>19</v>
      </c>
      <c r="H87" s="15">
        <v>2681595</v>
      </c>
    </row>
    <row r="88" spans="1:8" ht="25.5" x14ac:dyDescent="0.6">
      <c r="A88" s="14" t="s">
        <v>53</v>
      </c>
      <c r="B88" s="7">
        <v>2681731</v>
      </c>
      <c r="C88" s="8" t="s">
        <v>19</v>
      </c>
      <c r="D88" s="8" t="s">
        <v>19</v>
      </c>
      <c r="E88" s="8" t="s">
        <v>19</v>
      </c>
      <c r="F88" s="8" t="s">
        <v>19</v>
      </c>
      <c r="G88" s="8" t="s">
        <v>19</v>
      </c>
      <c r="H88" s="15">
        <v>2681731</v>
      </c>
    </row>
    <row r="89" spans="1:8" ht="38.25" x14ac:dyDescent="0.6">
      <c r="A89" s="14" t="s">
        <v>54</v>
      </c>
      <c r="B89" s="8">
        <v>-136</v>
      </c>
      <c r="C89" s="8" t="s">
        <v>19</v>
      </c>
      <c r="D89" s="8" t="s">
        <v>19</v>
      </c>
      <c r="E89" s="8" t="s">
        <v>19</v>
      </c>
      <c r="F89" s="8" t="s">
        <v>19</v>
      </c>
      <c r="G89" s="8" t="s">
        <v>19</v>
      </c>
      <c r="H89" s="16">
        <v>-136</v>
      </c>
    </row>
    <row r="90" spans="1:8" x14ac:dyDescent="0.6">
      <c r="A90" s="14" t="s">
        <v>55</v>
      </c>
      <c r="B90" s="8">
        <v>-578</v>
      </c>
      <c r="C90" s="8" t="s">
        <v>19</v>
      </c>
      <c r="D90" s="8" t="s">
        <v>19</v>
      </c>
      <c r="E90" s="8" t="s">
        <v>19</v>
      </c>
      <c r="F90" s="8" t="s">
        <v>19</v>
      </c>
      <c r="G90" s="8" t="s">
        <v>19</v>
      </c>
      <c r="H90" s="16">
        <v>-578</v>
      </c>
    </row>
    <row r="91" spans="1:8" ht="38.25" x14ac:dyDescent="0.6">
      <c r="A91" s="14" t="s">
        <v>56</v>
      </c>
      <c r="B91" s="7">
        <v>15289119</v>
      </c>
      <c r="C91" s="7">
        <v>163676</v>
      </c>
      <c r="D91" s="7">
        <v>67926</v>
      </c>
      <c r="E91" s="7">
        <v>562265</v>
      </c>
      <c r="F91" s="7">
        <v>25241</v>
      </c>
      <c r="G91" s="7">
        <v>655432</v>
      </c>
      <c r="H91" s="15">
        <v>16108227</v>
      </c>
    </row>
    <row r="92" spans="1:8" ht="38.25" x14ac:dyDescent="0.6">
      <c r="A92" s="14" t="s">
        <v>61</v>
      </c>
      <c r="B92" s="8" t="s">
        <v>19</v>
      </c>
      <c r="C92" s="8" t="s">
        <v>19</v>
      </c>
      <c r="D92" s="8" t="s">
        <v>19</v>
      </c>
      <c r="E92" s="8" t="s">
        <v>19</v>
      </c>
      <c r="F92" s="8" t="s">
        <v>19</v>
      </c>
      <c r="G92" s="8" t="s">
        <v>19</v>
      </c>
      <c r="H92" s="16" t="s">
        <v>19</v>
      </c>
    </row>
    <row r="93" spans="1:8" ht="38.25" x14ac:dyDescent="0.6">
      <c r="A93" s="14" t="s">
        <v>62</v>
      </c>
      <c r="B93" s="7">
        <v>15289119</v>
      </c>
      <c r="C93" s="7">
        <v>163676</v>
      </c>
      <c r="D93" s="7">
        <v>67926</v>
      </c>
      <c r="E93" s="7">
        <v>562265</v>
      </c>
      <c r="F93" s="7">
        <v>25241</v>
      </c>
      <c r="G93" s="7">
        <v>655432</v>
      </c>
      <c r="H93" s="15">
        <v>16108227</v>
      </c>
    </row>
    <row r="94" spans="1:8" ht="38.25" x14ac:dyDescent="0.6">
      <c r="A94" s="19" t="s">
        <v>63</v>
      </c>
      <c r="B94" s="20">
        <v>15289119</v>
      </c>
      <c r="C94" s="20">
        <v>163676</v>
      </c>
      <c r="D94" s="20">
        <v>67926</v>
      </c>
      <c r="E94" s="20">
        <v>562265</v>
      </c>
      <c r="F94" s="20">
        <v>25241</v>
      </c>
      <c r="G94" s="20">
        <v>655432</v>
      </c>
      <c r="H94" s="21">
        <v>16108227</v>
      </c>
    </row>
  </sheetData>
  <mergeCells count="12">
    <mergeCell ref="A66:H66"/>
    <mergeCell ref="A67:A69"/>
    <mergeCell ref="D67:G67"/>
    <mergeCell ref="G68:G69"/>
    <mergeCell ref="A35:H35"/>
    <mergeCell ref="A36:A38"/>
    <mergeCell ref="D36:G36"/>
    <mergeCell ref="G37:G38"/>
    <mergeCell ref="A4:H4"/>
    <mergeCell ref="A5:A7"/>
    <mergeCell ref="D5:G5"/>
    <mergeCell ref="G6:G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2026-06-03T00:50:50Z</dcterms:modified>
</cp:coreProperties>
</file>