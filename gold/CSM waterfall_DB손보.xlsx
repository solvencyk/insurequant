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0E850B20-0F31-4530-80CA-58168C61AF3B}" xr6:coauthVersionLast="47" xr6:coauthVersionMax="47" xr10:uidLastSave="{00000000-0000-0000-0000-000000000000}"/>
  <bookViews>
    <workbookView xWindow="-83" yWindow="0" windowWidth="10965" windowHeight="12863" xr2:uid="{3CD259B9-5A78-42E0-B669-107C3DC53255}"/>
  </bookViews>
  <sheets>
    <sheet name="Sheet2" sheetId="2" r:id="rId1"/>
    <sheet name="부문별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2" l="1"/>
  <c r="H7" i="2"/>
  <c r="H6" i="2"/>
  <c r="Q29" i="1"/>
  <c r="H4" i="2"/>
  <c r="H3" i="2"/>
  <c r="H2" i="2"/>
</calcChain>
</file>

<file path=xl/sharedStrings.xml><?xml version="1.0" encoding="utf-8"?>
<sst xmlns="http://schemas.openxmlformats.org/spreadsheetml/2006/main" count="124" uniqueCount="72">
  <si>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</si>
  <si>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</si>
  <si>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</si>
  <si>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</si>
  <si>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</si>
  <si>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</si>
  <si>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</si>
  <si>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값</t>
  </si>
  <si>
    <t>손해보험</t>
  </si>
  <si>
    <t>2025.4Q</t>
    <phoneticPr fontId="2" type="noConversion"/>
  </si>
  <si>
    <t>기초 CSM</t>
    <phoneticPr fontId="2" type="noConversion"/>
  </si>
  <si>
    <t>신계약 CSM</t>
    <phoneticPr fontId="2" type="noConversion"/>
  </si>
  <si>
    <t>이자 부리</t>
    <phoneticPr fontId="2" type="noConversion"/>
  </si>
  <si>
    <t>CSM 상각</t>
    <phoneticPr fontId="2" type="noConversion"/>
  </si>
  <si>
    <t>기말 CSM</t>
    <phoneticPr fontId="2" type="noConversion"/>
  </si>
  <si>
    <t>보험계약마진</t>
  </si>
  <si>
    <t>가정 및 경험 조정 등</t>
    <phoneticPr fontId="2" type="noConversion"/>
  </si>
  <si>
    <t>당기</t>
  </si>
  <si>
    <t>(단위 : 백만원)</t>
  </si>
  <si>
    <t>보험계약의 세분</t>
  </si>
  <si>
    <t>발행한 보험계약</t>
  </si>
  <si>
    <t>보험계약</t>
  </si>
  <si>
    <t>보험료배분접근법을 적용한 보험계약 외의 보험계약</t>
  </si>
  <si>
    <t>계약의 유형</t>
  </si>
  <si>
    <t>장기보험</t>
  </si>
  <si>
    <t>구성요소별 보험계약</t>
  </si>
  <si>
    <t>구성요소별 보험계약  합계</t>
  </si>
  <si>
    <t>미래 현금흐름의 현재가치 추정치</t>
  </si>
  <si>
    <t>비금융위험에 대한 위험조정</t>
  </si>
  <si>
    <t>KR0011</t>
    <phoneticPr fontId="2" type="noConversion"/>
  </si>
  <si>
    <t>DB손보</t>
    <phoneticPr fontId="2" type="noConversion"/>
  </si>
  <si>
    <t>보험계약부채(자산)의 보험계약 구성요소별 변동분에 대한 차이조정 공시</t>
  </si>
  <si>
    <t>보험계약의 성격</t>
  </si>
  <si>
    <t>유배당</t>
  </si>
  <si>
    <t>무배당</t>
  </si>
  <si>
    <t>전환일에 존재했던 계약 중 수정소급법을 적용한 계약의 보험계약마진</t>
  </si>
  <si>
    <t>전환일에 존재했던 계약 중 공정가치법을 적용한 계약의 보험계약마진</t>
  </si>
  <si>
    <t>전환일에 존재했던 계약 중 수정소급법이나 공정가치법을 적용하지 아니한 계약의 보험계약마진</t>
  </si>
  <si>
    <t>기초 보험계약부채(자산)</t>
  </si>
  <si>
    <t>자산인 보험계약의 기초 장부금액</t>
  </si>
  <si>
    <t>부채인 보험계약의 기초 장부금액</t>
  </si>
  <si>
    <t>현행 서비스와 관련된 변동에 따른 총 증가분(감소분), 보험계약부채(자산)</t>
  </si>
  <si>
    <t>서비스 이전을 반영하기 위해 당기손익으로 인식한 보험계약마진 금액에 따른 증가분(감소분), 보험계약부채(자산)</t>
  </si>
  <si>
    <t>미래 또는 과거 서비스와 관련 없는 비금융위험에 대한 위험조정의 변동에 따른 증가분(감소분), 보험계약부채(자산)</t>
  </si>
  <si>
    <t>경험조정에 따른 증가분(감소분), 보험계약부채(자산)</t>
  </si>
  <si>
    <t>미래 서비스와 관련된 변동분에 따른 총 증가분(감소분), 보험계약부채(자산)</t>
  </si>
  <si>
    <t>해당 기간에 처음 인식한 계약의 영향에 따른 증가분(감소분), 보험계약부채(자산)</t>
  </si>
  <si>
    <t>보험계약마진을 조정하는 추정치의 변동분에 따른 증가분(감소분), 보험계약부채(자산)</t>
  </si>
  <si>
    <t>손실부담요소에 반영된 추정치 변동</t>
  </si>
  <si>
    <t>과거 서비스와 관련된 변동분에 따른 증가분(감소분), 보험계약부채(자산)</t>
  </si>
  <si>
    <t>보험서비스결과에 따른 총 증가분(감소분), 보험계약부채(자산)</t>
  </si>
  <si>
    <t>보험금융비용(수익) (일부 조정)에 따른 증가분(감소분), 보험계약부채(자산)</t>
  </si>
  <si>
    <t>당기손익으로 인식한 발행보험계약의 보험금융비용(수익) (일부 조정)에 따른 증가분(감소분), 보험계약부채(자산)</t>
  </si>
  <si>
    <t>세전기타포괄손익, 당기손익에서 제외되나 당기손익으로 재분류될 발행보험계약의 보험금융비용(수익) (일부 조정)에 따른 증가분(감소분), 보험계약부채(자산)</t>
  </si>
  <si>
    <t>현금흐름에 따른 총 증가분(감소분), 보험계약부채(자산)</t>
  </si>
  <si>
    <t>발행한 보험계약에 대해 수취한 보험료에 따른 증가분(감소분), 보험계약부채(자산)</t>
  </si>
  <si>
    <t>보험취득 현금흐름을 제외하고 발행한 보험계약에 대해 지급한 보험금과 그 밖의 보험서비스비용에 따른 증가분(감소분), 보험계약부채(자산)</t>
  </si>
  <si>
    <t>보험취득 현금흐름에 따른 증가분(감소분), 보험계약부채(자산)</t>
  </si>
  <si>
    <t>투자요소 및 기타 현금흐름에 따른 증가분(감소분), 보험계약부채(자산)</t>
  </si>
  <si>
    <t>기말 보험계약부채(자산)</t>
  </si>
  <si>
    <t>자산인 보험계약의 기말 장부금액</t>
  </si>
  <si>
    <t>부채인 보험계약의 기말 장부금액</t>
  </si>
  <si>
    <t>미래서비스 변동의 세부내역</t>
  </si>
  <si>
    <t>미래 서비스와 관련된 변동분에 따른 증가분(감소분), 보험계약부채(자산)</t>
  </si>
  <si>
    <t>해당 기간에 처음 인식한 계약의 영향을 제외한 영향에 따른 증가분(감소분), 보험계약부채(자산)</t>
  </si>
  <si>
    <t>가정 변경과 관련된 변동분에 따른 총 증가분(감소분), 보험계약부채(자산)</t>
  </si>
  <si>
    <t>해지율 가정 변경과 관련된 변동분에 따른 증가분(감소분), 보험계약부채(자산)</t>
  </si>
  <si>
    <t>위험률 가정 변경과 관련된 변동분에 따른 증가분(감소분), 보험계약부채(자산)</t>
  </si>
  <si>
    <t>사업비율 가정 변경과 관련된 변동분에 따른 증가분(감소분), 보험계약부채(자산)</t>
  </si>
  <si>
    <t>기타가정 변경과 관련된 변동분에 따른 증가분(감소분), 보험계약부채(자산)</t>
  </si>
  <si>
    <t>물량차이 및 투자요소예실차 등과 관련된 변동분에 따른 증가분(감소분), 보험계약부채(자산)</t>
  </si>
  <si>
    <t>손실요소와 관련된 변동분에 따른 증가분(감소분), 보험계약부채(자산)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</si>
</sst>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 style="thin">
        <color rgb="FF80808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/>
      <diagonal/>
    </border>
    <border>
      <left/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000000"/>
      </left>
      <right style="thin">
        <color rgb="FF808080"/>
      </right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3" fontId="1" fillId="0" borderId="6" xfId="0" applyNumberFormat="1" applyFont="1" applyBorder="1" applyAlignment="1">
      <alignment horizontal="right" vertical="center" wrapText="1"/>
    </xf>
    <xf numFmtId="3" fontId="1" fillId="0" borderId="7" xfId="0" applyNumberFormat="1" applyFont="1" applyBorder="1" applyAlignment="1">
      <alignment horizontal="right" vertical="center" wrapText="1"/>
    </xf>
    <xf numFmtId="0" fontId="1" fillId="0" borderId="7" xfId="0" applyFont="1" applyBorder="1" applyAlignment="1">
      <alignment horizontal="right" vertical="center" wrapText="1"/>
    </xf>
    <xf numFmtId="3" fontId="1" fillId="0" borderId="8" xfId="0" applyNumberFormat="1" applyFont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J18"/>
  <sheetViews>
    <sheetView tabSelected="1" workbookViewId="0"/>
  </sheetViews>
  <sheetFormatPr defaultRowHeight="16.899999999999999" x14ac:dyDescent="0.6"/>
  <cols>
    <col min="8" max="8" width="15.1875" bestFit="1" customWidth="1"/>
    <col min="10" max="10" width="9.75" bestFit="1" customWidth="1"/>
  </cols>
  <sheetData>
    <row r="1" spans="1:10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 spans="1:10" x14ac:dyDescent="0.6">
      <c r="A2" s="2" t="s">
        <v>29</v>
      </c>
      <c r="B2" s="2" t="s">
        <v>30</v>
      </c>
      <c r="C2" s="2"/>
      <c r="D2" s="2" t="s">
        <v>8</v>
      </c>
      <c r="E2" s="2">
        <v>1</v>
      </c>
      <c r="F2" s="2" t="s">
        <v>10</v>
      </c>
      <c r="G2" s="2" t="s">
        <v>9</v>
      </c>
      <c r="H2" s="1">
        <f>SUM(부문별!E15:G15,부문별!K15:M15)</f>
        <v>12231758</v>
      </c>
      <c r="J2" s="1"/>
    </row>
    <row r="3" spans="1:10" x14ac:dyDescent="0.6">
      <c r="A3" s="2" t="s">
        <v>29</v>
      </c>
      <c r="B3" s="2" t="s">
        <v>30</v>
      </c>
      <c r="C3" s="2"/>
      <c r="D3" s="2" t="s">
        <v>8</v>
      </c>
      <c r="E3" s="2">
        <v>2</v>
      </c>
      <c r="F3" s="2" t="s">
        <v>11</v>
      </c>
      <c r="G3" s="2" t="s">
        <v>9</v>
      </c>
      <c r="H3">
        <f>SUM(부문별!K23:M23,부문별!E23:G23)</f>
        <v>2932693</v>
      </c>
      <c r="J3" s="1"/>
    </row>
    <row r="4" spans="1:10" x14ac:dyDescent="0.6">
      <c r="A4" s="2" t="s">
        <v>29</v>
      </c>
      <c r="B4" s="2" t="s">
        <v>30</v>
      </c>
      <c r="C4" s="2"/>
      <c r="D4" s="2" t="s">
        <v>8</v>
      </c>
      <c r="E4">
        <v>3</v>
      </c>
      <c r="F4" s="2" t="s">
        <v>12</v>
      </c>
      <c r="G4" t="s">
        <v>9</v>
      </c>
      <c r="H4" s="1">
        <f>SUM(부문별!K28:M28,부문별!E28:G28)</f>
        <v>443440</v>
      </c>
      <c r="J4" s="1"/>
    </row>
    <row r="5" spans="1:10" x14ac:dyDescent="0.6">
      <c r="A5" s="2" t="s">
        <v>29</v>
      </c>
      <c r="B5" s="2" t="s">
        <v>30</v>
      </c>
      <c r="C5" s="2"/>
      <c r="D5" s="2" t="s">
        <v>8</v>
      </c>
      <c r="E5" s="2">
        <v>4</v>
      </c>
      <c r="F5" s="2" t="s">
        <v>16</v>
      </c>
      <c r="G5" t="s">
        <v>9</v>
      </c>
      <c r="H5" s="1">
        <f>H7-H6-H4-H3-H2</f>
        <v>-2117470</v>
      </c>
      <c r="J5" s="1"/>
    </row>
    <row r="6" spans="1:10" x14ac:dyDescent="0.6">
      <c r="A6" s="2" t="s">
        <v>29</v>
      </c>
      <c r="B6" s="2" t="s">
        <v>30</v>
      </c>
      <c r="C6" s="2"/>
      <c r="D6" s="2" t="s">
        <v>8</v>
      </c>
      <c r="E6" s="2">
        <v>5</v>
      </c>
      <c r="F6" s="2" t="s">
        <v>13</v>
      </c>
      <c r="G6" t="s">
        <v>9</v>
      </c>
      <c r="H6" s="1">
        <f>SUM(부문별!K19:M19,부문별!E19:G19)</f>
        <v>-1285078</v>
      </c>
      <c r="J6" s="1"/>
    </row>
    <row r="7" spans="1:10" x14ac:dyDescent="0.6">
      <c r="A7" s="2" t="s">
        <v>29</v>
      </c>
      <c r="B7" s="2" t="s">
        <v>30</v>
      </c>
      <c r="C7" s="2"/>
      <c r="D7" s="2" t="s">
        <v>8</v>
      </c>
      <c r="E7" s="2">
        <v>6</v>
      </c>
      <c r="F7" s="2" t="s">
        <v>14</v>
      </c>
      <c r="G7" t="s">
        <v>9</v>
      </c>
      <c r="H7" s="1">
        <f>SUM(부문별!K36:M36,부문별!E36:G36)</f>
        <v>12205343</v>
      </c>
      <c r="J7" s="1"/>
    </row>
    <row r="8" spans="1:10" x14ac:dyDescent="0.6">
      <c r="A8" s="2"/>
      <c r="B8" s="2"/>
      <c r="C8" s="2"/>
      <c r="D8" s="2"/>
      <c r="H8" s="1"/>
    </row>
    <row r="9" spans="1:10" x14ac:dyDescent="0.6">
      <c r="A9" s="2"/>
      <c r="B9" s="2"/>
      <c r="C9" s="2"/>
      <c r="D9" s="2"/>
      <c r="H9" s="1"/>
    </row>
    <row r="10" spans="1:10" x14ac:dyDescent="0.6">
      <c r="A10" s="2"/>
      <c r="B10" s="2"/>
      <c r="C10" s="2"/>
      <c r="D10" s="2"/>
      <c r="H10" s="1"/>
    </row>
    <row r="11" spans="1:10" x14ac:dyDescent="0.6">
      <c r="A11" s="2"/>
      <c r="B11" s="2"/>
      <c r="C11" s="2"/>
      <c r="D11" s="2"/>
      <c r="H11" s="1"/>
    </row>
    <row r="12" spans="1:10" x14ac:dyDescent="0.6">
      <c r="A12" s="2"/>
      <c r="B12" s="2"/>
      <c r="C12" s="2"/>
      <c r="D12" s="2"/>
      <c r="H12" s="1"/>
    </row>
    <row r="13" spans="1:10" x14ac:dyDescent="0.6">
      <c r="A13" s="2"/>
      <c r="B13" s="2"/>
      <c r="C13" s="2"/>
      <c r="D13" s="2"/>
      <c r="H13" s="1"/>
    </row>
    <row r="14" spans="1:10" x14ac:dyDescent="0.6">
      <c r="A14" s="2"/>
      <c r="B14" s="2"/>
      <c r="C14" s="2"/>
      <c r="D14" s="2"/>
      <c r="H14" s="1"/>
    </row>
    <row r="15" spans="1:10" x14ac:dyDescent="0.6">
      <c r="A15" s="2"/>
      <c r="B15" s="2"/>
      <c r="C15" s="2"/>
      <c r="D15" s="2"/>
      <c r="H15" s="1"/>
    </row>
    <row r="16" spans="1:10" x14ac:dyDescent="0.6">
      <c r="A16" s="2"/>
      <c r="B16" s="2"/>
      <c r="C16" s="2"/>
      <c r="D16" s="2"/>
      <c r="H16" s="1"/>
    </row>
    <row r="17" spans="1:8" x14ac:dyDescent="0.6">
      <c r="A17" s="2"/>
      <c r="B17" s="2"/>
      <c r="C17" s="2"/>
      <c r="D17" s="2"/>
      <c r="H17" s="1"/>
    </row>
    <row r="18" spans="1:8" x14ac:dyDescent="0.6">
      <c r="A18" s="2"/>
      <c r="B18" s="2"/>
      <c r="C18" s="2"/>
      <c r="D18" s="2"/>
      <c r="H18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1:Q167"/>
  <sheetViews>
    <sheetView zoomScale="51" workbookViewId="0">
      <pane xSplit="2" ySplit="14" topLeftCell="C37" activePane="bottomRight" state="frozen"/>
      <selection pane="topRight" activeCell="C1" sqref="C1"/>
      <selection pane="bottomLeft" activeCell="A15" sqref="A15"/>
      <selection pane="bottomRight" activeCell="Q36" sqref="Q36"/>
    </sheetView>
  </sheetViews>
  <sheetFormatPr defaultRowHeight="16.899999999999999" x14ac:dyDescent="0.6"/>
  <cols>
    <col min="17" max="17" width="10" bestFit="1" customWidth="1"/>
  </cols>
  <sheetData>
    <row r="1" spans="1:14" ht="67.5" customHeight="1" x14ac:dyDescent="0.6">
      <c r="A1" s="10" t="s">
        <v>31</v>
      </c>
    </row>
    <row r="2" spans="1:14" ht="54" customHeight="1" x14ac:dyDescent="0.6">
      <c r="A2" s="24" t="s">
        <v>31</v>
      </c>
      <c r="B2" s="24"/>
    </row>
    <row r="3" spans="1:14" ht="27" x14ac:dyDescent="0.6">
      <c r="A3" s="10" t="s">
        <v>17</v>
      </c>
      <c r="B3" s="11" t="s">
        <v>18</v>
      </c>
    </row>
    <row r="4" spans="1:14" x14ac:dyDescent="0.6">
      <c r="A4" s="14"/>
      <c r="B4" s="15"/>
      <c r="C4" s="34" t="s">
        <v>19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6"/>
    </row>
    <row r="5" spans="1:14" x14ac:dyDescent="0.6">
      <c r="A5" s="16"/>
      <c r="B5" s="12"/>
      <c r="C5" s="25" t="s">
        <v>20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7"/>
    </row>
    <row r="6" spans="1:14" x14ac:dyDescent="0.6">
      <c r="A6" s="16"/>
      <c r="B6" s="12"/>
      <c r="C6" s="25" t="s">
        <v>21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7"/>
    </row>
    <row r="7" spans="1:14" x14ac:dyDescent="0.6">
      <c r="A7" s="16"/>
      <c r="B7" s="12"/>
      <c r="C7" s="25" t="s">
        <v>22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7"/>
    </row>
    <row r="8" spans="1:14" x14ac:dyDescent="0.6">
      <c r="A8" s="16"/>
      <c r="B8" s="12"/>
      <c r="C8" s="25" t="s">
        <v>32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7"/>
    </row>
    <row r="9" spans="1:14" x14ac:dyDescent="0.6">
      <c r="A9" s="16"/>
      <c r="B9" s="12"/>
      <c r="C9" s="25" t="s">
        <v>33</v>
      </c>
      <c r="D9" s="26"/>
      <c r="E9" s="26"/>
      <c r="F9" s="26"/>
      <c r="G9" s="26"/>
      <c r="H9" s="28"/>
      <c r="I9" s="25" t="s">
        <v>34</v>
      </c>
      <c r="J9" s="26"/>
      <c r="K9" s="26"/>
      <c r="L9" s="26"/>
      <c r="M9" s="26"/>
      <c r="N9" s="27"/>
    </row>
    <row r="10" spans="1:14" x14ac:dyDescent="0.6">
      <c r="A10" s="16"/>
      <c r="B10" s="12"/>
      <c r="C10" s="25" t="s">
        <v>23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7"/>
    </row>
    <row r="11" spans="1:14" x14ac:dyDescent="0.6">
      <c r="A11" s="16"/>
      <c r="B11" s="12"/>
      <c r="C11" s="25" t="s">
        <v>24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7"/>
    </row>
    <row r="12" spans="1:14" ht="27" customHeight="1" x14ac:dyDescent="0.6">
      <c r="A12" s="16"/>
      <c r="B12" s="12"/>
      <c r="C12" s="25" t="s">
        <v>25</v>
      </c>
      <c r="D12" s="26"/>
      <c r="E12" s="26"/>
      <c r="F12" s="26"/>
      <c r="G12" s="28"/>
      <c r="H12" s="32" t="s">
        <v>26</v>
      </c>
      <c r="I12" s="25" t="s">
        <v>25</v>
      </c>
      <c r="J12" s="26"/>
      <c r="K12" s="26"/>
      <c r="L12" s="26"/>
      <c r="M12" s="28"/>
      <c r="N12" s="29" t="s">
        <v>26</v>
      </c>
    </row>
    <row r="13" spans="1:14" x14ac:dyDescent="0.6">
      <c r="A13" s="16"/>
      <c r="B13" s="12"/>
      <c r="C13" s="32" t="s">
        <v>27</v>
      </c>
      <c r="D13" s="32" t="s">
        <v>28</v>
      </c>
      <c r="E13" s="25" t="s">
        <v>15</v>
      </c>
      <c r="F13" s="26"/>
      <c r="G13" s="28"/>
      <c r="H13" s="38"/>
      <c r="I13" s="32" t="s">
        <v>27</v>
      </c>
      <c r="J13" s="32" t="s">
        <v>28</v>
      </c>
      <c r="K13" s="25" t="s">
        <v>15</v>
      </c>
      <c r="L13" s="26"/>
      <c r="M13" s="28"/>
      <c r="N13" s="30"/>
    </row>
    <row r="14" spans="1:14" ht="148.5" x14ac:dyDescent="0.6">
      <c r="A14" s="16"/>
      <c r="B14" s="12"/>
      <c r="C14" s="33"/>
      <c r="D14" s="33"/>
      <c r="E14" s="12" t="s">
        <v>35</v>
      </c>
      <c r="F14" s="12" t="s">
        <v>36</v>
      </c>
      <c r="G14" s="12" t="s">
        <v>37</v>
      </c>
      <c r="H14" s="33"/>
      <c r="I14" s="33"/>
      <c r="J14" s="33"/>
      <c r="K14" s="12" t="s">
        <v>35</v>
      </c>
      <c r="L14" s="12" t="s">
        <v>36</v>
      </c>
      <c r="M14" s="12" t="s">
        <v>37</v>
      </c>
      <c r="N14" s="31"/>
    </row>
    <row r="15" spans="1:14" ht="27" customHeight="1" x14ac:dyDescent="0.6">
      <c r="A15" s="21" t="s">
        <v>38</v>
      </c>
      <c r="B15" s="22"/>
      <c r="C15" s="4">
        <v>3887917</v>
      </c>
      <c r="D15" s="4">
        <v>2950</v>
      </c>
      <c r="E15" s="4">
        <v>20646</v>
      </c>
      <c r="F15" s="3">
        <v>461</v>
      </c>
      <c r="G15" s="4">
        <v>4255</v>
      </c>
      <c r="H15" s="4">
        <v>3916229</v>
      </c>
      <c r="I15" s="4">
        <v>7304751</v>
      </c>
      <c r="J15" s="4">
        <v>1928589</v>
      </c>
      <c r="K15" s="4">
        <v>3260713</v>
      </c>
      <c r="L15" s="4">
        <v>3462672</v>
      </c>
      <c r="M15" s="4">
        <v>5483011</v>
      </c>
      <c r="N15" s="6">
        <v>21439736</v>
      </c>
    </row>
    <row r="16" spans="1:14" ht="54" x14ac:dyDescent="0.6">
      <c r="A16" s="18" t="s">
        <v>38</v>
      </c>
      <c r="B16" s="13" t="s">
        <v>39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4">
        <v>1588192</v>
      </c>
      <c r="J16" s="4">
        <v>-199122</v>
      </c>
      <c r="K16" s="4">
        <v>-180051</v>
      </c>
      <c r="L16" s="3">
        <v>0</v>
      </c>
      <c r="M16" s="4">
        <v>-535573</v>
      </c>
      <c r="N16" s="6">
        <v>673446</v>
      </c>
    </row>
    <row r="17" spans="1:17" ht="27" customHeight="1" x14ac:dyDescent="0.6">
      <c r="A17" s="20"/>
      <c r="B17" s="13" t="s">
        <v>40</v>
      </c>
      <c r="C17" s="4">
        <v>3887917</v>
      </c>
      <c r="D17" s="4">
        <v>2950</v>
      </c>
      <c r="E17" s="4">
        <v>20646</v>
      </c>
      <c r="F17" s="3">
        <v>461</v>
      </c>
      <c r="G17" s="4">
        <v>4255</v>
      </c>
      <c r="H17" s="4">
        <v>3916229</v>
      </c>
      <c r="I17" s="4">
        <v>8892943</v>
      </c>
      <c r="J17" s="4">
        <v>1729467</v>
      </c>
      <c r="K17" s="4">
        <v>3080662</v>
      </c>
      <c r="L17" s="4">
        <v>3462672</v>
      </c>
      <c r="M17" s="4">
        <v>4947438</v>
      </c>
      <c r="N17" s="6">
        <v>22113182</v>
      </c>
    </row>
    <row r="18" spans="1:17" ht="54" customHeight="1" x14ac:dyDescent="0.6">
      <c r="A18" s="21" t="s">
        <v>41</v>
      </c>
      <c r="B18" s="22"/>
      <c r="C18" s="4">
        <v>-1486</v>
      </c>
      <c r="D18" s="3">
        <v>-279</v>
      </c>
      <c r="E18" s="4">
        <v>-1011</v>
      </c>
      <c r="F18" s="3">
        <v>-21</v>
      </c>
      <c r="G18" s="3">
        <v>-73</v>
      </c>
      <c r="H18" s="4">
        <v>-2870</v>
      </c>
      <c r="I18" s="4">
        <v>-82691</v>
      </c>
      <c r="J18" s="4">
        <v>-157451</v>
      </c>
      <c r="K18" s="4">
        <v>-267366</v>
      </c>
      <c r="L18" s="4">
        <v>-272716</v>
      </c>
      <c r="M18" s="4">
        <v>-743891</v>
      </c>
      <c r="N18" s="6">
        <v>-1524115</v>
      </c>
    </row>
    <row r="19" spans="1:17" ht="162" x14ac:dyDescent="0.6">
      <c r="A19" s="18" t="s">
        <v>41</v>
      </c>
      <c r="B19" s="13" t="s">
        <v>42</v>
      </c>
      <c r="C19" s="3">
        <v>0</v>
      </c>
      <c r="D19" s="3">
        <v>0</v>
      </c>
      <c r="E19" s="4">
        <v>-1011</v>
      </c>
      <c r="F19" s="3">
        <v>-21</v>
      </c>
      <c r="G19" s="3">
        <v>-73</v>
      </c>
      <c r="H19" s="4">
        <v>-1105</v>
      </c>
      <c r="I19" s="3">
        <v>0</v>
      </c>
      <c r="J19" s="3">
        <v>0</v>
      </c>
      <c r="K19" s="4">
        <v>-267366</v>
      </c>
      <c r="L19" s="4">
        <v>-272716</v>
      </c>
      <c r="M19" s="4">
        <v>-743891</v>
      </c>
      <c r="N19" s="6">
        <v>-1283973</v>
      </c>
    </row>
    <row r="20" spans="1:17" ht="162" x14ac:dyDescent="0.6">
      <c r="A20" s="19"/>
      <c r="B20" s="13" t="s">
        <v>43</v>
      </c>
      <c r="C20" s="3">
        <v>0</v>
      </c>
      <c r="D20" s="3">
        <v>-279</v>
      </c>
      <c r="E20" s="3">
        <v>0</v>
      </c>
      <c r="F20" s="3">
        <v>0</v>
      </c>
      <c r="G20" s="3">
        <v>0</v>
      </c>
      <c r="H20" s="3">
        <v>-279</v>
      </c>
      <c r="I20" s="3">
        <v>0</v>
      </c>
      <c r="J20" s="4">
        <v>-158861</v>
      </c>
      <c r="K20" s="3">
        <v>0</v>
      </c>
      <c r="L20" s="3">
        <v>0</v>
      </c>
      <c r="M20" s="3">
        <v>0</v>
      </c>
      <c r="N20" s="6">
        <v>-158861</v>
      </c>
    </row>
    <row r="21" spans="1:17" ht="81" x14ac:dyDescent="0.6">
      <c r="A21" s="20"/>
      <c r="B21" s="13" t="s">
        <v>44</v>
      </c>
      <c r="C21" s="4">
        <v>-1486</v>
      </c>
      <c r="D21" s="3">
        <v>0</v>
      </c>
      <c r="E21" s="3">
        <v>0</v>
      </c>
      <c r="F21" s="3">
        <v>0</v>
      </c>
      <c r="G21" s="3">
        <v>0</v>
      </c>
      <c r="H21" s="4">
        <v>-1486</v>
      </c>
      <c r="I21" s="4">
        <v>-82691</v>
      </c>
      <c r="J21" s="4">
        <v>1410</v>
      </c>
      <c r="K21" s="3">
        <v>0</v>
      </c>
      <c r="L21" s="3">
        <v>0</v>
      </c>
      <c r="M21" s="3">
        <v>0</v>
      </c>
      <c r="N21" s="6">
        <v>-81281</v>
      </c>
    </row>
    <row r="22" spans="1:17" ht="54" customHeight="1" x14ac:dyDescent="0.6">
      <c r="A22" s="21" t="s">
        <v>45</v>
      </c>
      <c r="B22" s="22"/>
      <c r="C22" s="4">
        <v>34615</v>
      </c>
      <c r="D22" s="3">
        <v>367</v>
      </c>
      <c r="E22" s="4">
        <v>-4579</v>
      </c>
      <c r="F22" s="3">
        <v>-451</v>
      </c>
      <c r="G22" s="4">
        <v>-1517</v>
      </c>
      <c r="H22" s="4">
        <v>28435</v>
      </c>
      <c r="I22" s="4">
        <v>-1103790</v>
      </c>
      <c r="J22" s="4">
        <v>261956</v>
      </c>
      <c r="K22" s="4">
        <v>-544517</v>
      </c>
      <c r="L22" s="4">
        <v>272974</v>
      </c>
      <c r="M22" s="4">
        <v>1093313</v>
      </c>
      <c r="N22" s="6">
        <v>-20064</v>
      </c>
    </row>
    <row r="23" spans="1:17" ht="121.5" x14ac:dyDescent="0.6">
      <c r="A23" s="18" t="s">
        <v>45</v>
      </c>
      <c r="B23" s="13" t="s">
        <v>46</v>
      </c>
      <c r="C23" s="3">
        <v>359</v>
      </c>
      <c r="D23" s="3">
        <v>103</v>
      </c>
      <c r="E23" s="3">
        <v>0</v>
      </c>
      <c r="F23" s="3">
        <v>0</v>
      </c>
      <c r="G23" s="3">
        <v>325</v>
      </c>
      <c r="H23" s="3">
        <v>787</v>
      </c>
      <c r="I23" s="4">
        <v>-3225368</v>
      </c>
      <c r="J23" s="4">
        <v>333284</v>
      </c>
      <c r="K23" s="3">
        <v>0</v>
      </c>
      <c r="L23" s="3">
        <v>0</v>
      </c>
      <c r="M23" s="4">
        <v>2932368</v>
      </c>
      <c r="N23" s="6">
        <v>40284</v>
      </c>
    </row>
    <row r="24" spans="1:17" ht="135" x14ac:dyDescent="0.6">
      <c r="A24" s="19"/>
      <c r="B24" s="13" t="s">
        <v>47</v>
      </c>
      <c r="C24" s="4">
        <v>6771</v>
      </c>
      <c r="D24" s="3">
        <v>101</v>
      </c>
      <c r="E24" s="4">
        <v>-4579</v>
      </c>
      <c r="F24" s="3">
        <v>-451</v>
      </c>
      <c r="G24" s="4">
        <v>-1842</v>
      </c>
      <c r="H24" s="3">
        <v>0</v>
      </c>
      <c r="I24" s="4">
        <v>2151538</v>
      </c>
      <c r="J24" s="4">
        <v>-40940</v>
      </c>
      <c r="K24" s="4">
        <v>-544517</v>
      </c>
      <c r="L24" s="4">
        <v>272974</v>
      </c>
      <c r="M24" s="4">
        <v>-1839055</v>
      </c>
      <c r="N24" s="5">
        <v>0</v>
      </c>
    </row>
    <row r="25" spans="1:17" ht="54" x14ac:dyDescent="0.6">
      <c r="A25" s="20"/>
      <c r="B25" s="13" t="s">
        <v>48</v>
      </c>
      <c r="C25" s="4">
        <v>27485</v>
      </c>
      <c r="D25" s="3">
        <v>163</v>
      </c>
      <c r="E25" s="3">
        <v>0</v>
      </c>
      <c r="F25" s="3">
        <v>0</v>
      </c>
      <c r="G25" s="3">
        <v>0</v>
      </c>
      <c r="H25" s="4">
        <v>27648</v>
      </c>
      <c r="I25" s="4">
        <v>-29960</v>
      </c>
      <c r="J25" s="4">
        <v>-30388</v>
      </c>
      <c r="K25" s="3">
        <v>0</v>
      </c>
      <c r="L25" s="3">
        <v>0</v>
      </c>
      <c r="M25" s="3">
        <v>0</v>
      </c>
      <c r="N25" s="6">
        <v>-60348</v>
      </c>
    </row>
    <row r="26" spans="1:17" x14ac:dyDescent="0.6">
      <c r="A26" s="21" t="s">
        <v>49</v>
      </c>
      <c r="B26" s="22"/>
      <c r="C26" s="3">
        <v>5</v>
      </c>
      <c r="D26" s="3">
        <v>0</v>
      </c>
      <c r="E26" s="3">
        <v>0</v>
      </c>
      <c r="F26" s="3">
        <v>0</v>
      </c>
      <c r="G26" s="3">
        <v>0</v>
      </c>
      <c r="H26" s="3">
        <v>5</v>
      </c>
      <c r="I26" s="4">
        <v>291779</v>
      </c>
      <c r="J26" s="4">
        <v>1155</v>
      </c>
      <c r="K26" s="3">
        <v>0</v>
      </c>
      <c r="L26" s="3">
        <v>0</v>
      </c>
      <c r="M26" s="3">
        <v>0</v>
      </c>
      <c r="N26" s="6">
        <v>292934</v>
      </c>
    </row>
    <row r="27" spans="1:17" ht="54" customHeight="1" x14ac:dyDescent="0.6">
      <c r="A27" s="21" t="s">
        <v>50</v>
      </c>
      <c r="B27" s="22"/>
      <c r="C27" s="4">
        <v>33134</v>
      </c>
      <c r="D27" s="3">
        <v>88</v>
      </c>
      <c r="E27" s="4">
        <v>-5590</v>
      </c>
      <c r="F27" s="3">
        <v>-472</v>
      </c>
      <c r="G27" s="4">
        <v>-1590</v>
      </c>
      <c r="H27" s="4">
        <v>25570</v>
      </c>
      <c r="I27" s="4">
        <v>-894702</v>
      </c>
      <c r="J27" s="4">
        <v>105660</v>
      </c>
      <c r="K27" s="4">
        <v>-811883</v>
      </c>
      <c r="L27" s="3">
        <v>258</v>
      </c>
      <c r="M27" s="4">
        <v>349422</v>
      </c>
      <c r="N27" s="6">
        <v>-1251245</v>
      </c>
    </row>
    <row r="28" spans="1:17" ht="54" customHeight="1" x14ac:dyDescent="0.6">
      <c r="A28" s="21" t="s">
        <v>51</v>
      </c>
      <c r="B28" s="22"/>
      <c r="C28" s="4">
        <v>35139</v>
      </c>
      <c r="D28" s="3">
        <v>0</v>
      </c>
      <c r="E28" s="3">
        <v>570</v>
      </c>
      <c r="F28" s="3">
        <v>11</v>
      </c>
      <c r="G28" s="3">
        <v>166</v>
      </c>
      <c r="H28" s="4">
        <v>35886</v>
      </c>
      <c r="I28" s="4">
        <v>-647147</v>
      </c>
      <c r="J28" s="3">
        <v>0</v>
      </c>
      <c r="K28" s="4">
        <v>84452</v>
      </c>
      <c r="L28" s="4">
        <v>106423</v>
      </c>
      <c r="M28" s="4">
        <v>251818</v>
      </c>
      <c r="N28" s="6">
        <v>-204454</v>
      </c>
    </row>
    <row r="29" spans="1:17" ht="175.5" x14ac:dyDescent="0.6">
      <c r="A29" s="18" t="s">
        <v>51</v>
      </c>
      <c r="B29" s="13" t="s">
        <v>52</v>
      </c>
      <c r="C29" s="4">
        <v>53256</v>
      </c>
      <c r="D29" s="3">
        <v>0</v>
      </c>
      <c r="E29" s="3">
        <v>570</v>
      </c>
      <c r="F29" s="3">
        <v>11</v>
      </c>
      <c r="G29" s="3">
        <v>166</v>
      </c>
      <c r="H29" s="4">
        <v>54003</v>
      </c>
      <c r="I29" s="4">
        <v>120997</v>
      </c>
      <c r="J29" s="3">
        <v>0</v>
      </c>
      <c r="K29" s="4">
        <v>84452</v>
      </c>
      <c r="L29" s="4">
        <v>106423</v>
      </c>
      <c r="M29" s="4">
        <v>251818</v>
      </c>
      <c r="N29" s="6">
        <v>563690</v>
      </c>
      <c r="Q29" s="1">
        <f>SUM(K29:M29,E29:G29)</f>
        <v>443440</v>
      </c>
    </row>
    <row r="30" spans="1:17" ht="243" x14ac:dyDescent="0.6">
      <c r="A30" s="20"/>
      <c r="B30" s="13" t="s">
        <v>53</v>
      </c>
      <c r="C30" s="4">
        <v>-18117</v>
      </c>
      <c r="D30" s="3">
        <v>0</v>
      </c>
      <c r="E30" s="3">
        <v>0</v>
      </c>
      <c r="F30" s="3">
        <v>0</v>
      </c>
      <c r="G30" s="3">
        <v>0</v>
      </c>
      <c r="H30" s="4">
        <v>-18117</v>
      </c>
      <c r="I30" s="4">
        <v>-768144</v>
      </c>
      <c r="J30" s="3">
        <v>0</v>
      </c>
      <c r="K30" s="3">
        <v>0</v>
      </c>
      <c r="L30" s="3">
        <v>0</v>
      </c>
      <c r="M30" s="3">
        <v>0</v>
      </c>
      <c r="N30" s="6">
        <v>-768144</v>
      </c>
    </row>
    <row r="31" spans="1:17" x14ac:dyDescent="0.6">
      <c r="A31" s="21" t="s">
        <v>54</v>
      </c>
      <c r="B31" s="22"/>
      <c r="C31" s="4">
        <v>-202977</v>
      </c>
      <c r="D31" s="3">
        <v>0</v>
      </c>
      <c r="E31" s="3">
        <v>0</v>
      </c>
      <c r="F31" s="3">
        <v>0</v>
      </c>
      <c r="G31" s="3">
        <v>0</v>
      </c>
      <c r="H31" s="4">
        <v>-202977</v>
      </c>
      <c r="I31" s="4">
        <v>945956</v>
      </c>
      <c r="J31" s="3">
        <v>0</v>
      </c>
      <c r="K31" s="3">
        <v>0</v>
      </c>
      <c r="L31" s="3">
        <v>0</v>
      </c>
      <c r="M31" s="3">
        <v>0</v>
      </c>
      <c r="N31" s="6">
        <v>945956</v>
      </c>
    </row>
    <row r="32" spans="1:17" ht="121.5" x14ac:dyDescent="0.6">
      <c r="A32" s="18" t="s">
        <v>54</v>
      </c>
      <c r="B32" s="13" t="s">
        <v>55</v>
      </c>
      <c r="C32" s="4">
        <v>100769</v>
      </c>
      <c r="D32" s="3">
        <v>0</v>
      </c>
      <c r="E32" s="3">
        <v>0</v>
      </c>
      <c r="F32" s="3">
        <v>0</v>
      </c>
      <c r="G32" s="3">
        <v>0</v>
      </c>
      <c r="H32" s="4">
        <v>100769</v>
      </c>
      <c r="I32" s="4">
        <v>11852406</v>
      </c>
      <c r="J32" s="3">
        <v>0</v>
      </c>
      <c r="K32" s="3">
        <v>0</v>
      </c>
      <c r="L32" s="3">
        <v>0</v>
      </c>
      <c r="M32" s="3">
        <v>0</v>
      </c>
      <c r="N32" s="6">
        <v>11852406</v>
      </c>
    </row>
    <row r="33" spans="1:14" ht="202.5" x14ac:dyDescent="0.6">
      <c r="A33" s="19"/>
      <c r="B33" s="13" t="s">
        <v>56</v>
      </c>
      <c r="C33" s="4">
        <v>-11047</v>
      </c>
      <c r="D33" s="3">
        <v>0</v>
      </c>
      <c r="E33" s="3">
        <v>0</v>
      </c>
      <c r="F33" s="3">
        <v>0</v>
      </c>
      <c r="G33" s="3">
        <v>0</v>
      </c>
      <c r="H33" s="4">
        <v>-11047</v>
      </c>
      <c r="I33" s="4">
        <v>-5852607</v>
      </c>
      <c r="J33" s="3">
        <v>0</v>
      </c>
      <c r="K33" s="3">
        <v>0</v>
      </c>
      <c r="L33" s="3">
        <v>0</v>
      </c>
      <c r="M33" s="3">
        <v>0</v>
      </c>
      <c r="N33" s="6">
        <v>-5852607</v>
      </c>
    </row>
    <row r="34" spans="1:14" ht="94.5" x14ac:dyDescent="0.6">
      <c r="A34" s="19"/>
      <c r="B34" s="13" t="s">
        <v>57</v>
      </c>
      <c r="C34" s="4">
        <v>-1698</v>
      </c>
      <c r="D34" s="3">
        <v>0</v>
      </c>
      <c r="E34" s="3">
        <v>0</v>
      </c>
      <c r="F34" s="3">
        <v>0</v>
      </c>
      <c r="G34" s="3">
        <v>0</v>
      </c>
      <c r="H34" s="4">
        <v>-1698</v>
      </c>
      <c r="I34" s="4">
        <v>-2961124</v>
      </c>
      <c r="J34" s="3">
        <v>0</v>
      </c>
      <c r="K34" s="3">
        <v>0</v>
      </c>
      <c r="L34" s="3">
        <v>0</v>
      </c>
      <c r="M34" s="3">
        <v>0</v>
      </c>
      <c r="N34" s="6">
        <v>-2961124</v>
      </c>
    </row>
    <row r="35" spans="1:14" ht="108" x14ac:dyDescent="0.6">
      <c r="A35" s="20"/>
      <c r="B35" s="13" t="s">
        <v>58</v>
      </c>
      <c r="C35" s="4">
        <v>-291001</v>
      </c>
      <c r="D35" s="3">
        <v>0</v>
      </c>
      <c r="E35" s="3">
        <v>0</v>
      </c>
      <c r="F35" s="3">
        <v>0</v>
      </c>
      <c r="G35" s="3">
        <v>0</v>
      </c>
      <c r="H35" s="4">
        <v>-291001</v>
      </c>
      <c r="I35" s="4">
        <v>-2092719</v>
      </c>
      <c r="J35" s="3">
        <v>0</v>
      </c>
      <c r="K35" s="3">
        <v>0</v>
      </c>
      <c r="L35" s="3">
        <v>0</v>
      </c>
      <c r="M35" s="3">
        <v>0</v>
      </c>
      <c r="N35" s="6">
        <v>-2092719</v>
      </c>
    </row>
    <row r="36" spans="1:14" x14ac:dyDescent="0.6">
      <c r="A36" s="21" t="s">
        <v>59</v>
      </c>
      <c r="B36" s="22"/>
      <c r="C36" s="4">
        <v>3753213</v>
      </c>
      <c r="D36" s="4">
        <v>3038</v>
      </c>
      <c r="E36" s="4">
        <v>15626</v>
      </c>
      <c r="F36" s="3">
        <v>0</v>
      </c>
      <c r="G36" s="4">
        <v>2831</v>
      </c>
      <c r="H36" s="4">
        <v>3774708</v>
      </c>
      <c r="I36" s="4">
        <v>6708858</v>
      </c>
      <c r="J36" s="4">
        <v>2034249</v>
      </c>
      <c r="K36" s="4">
        <v>2533282</v>
      </c>
      <c r="L36" s="4">
        <v>3569353</v>
      </c>
      <c r="M36" s="4">
        <v>6084251</v>
      </c>
      <c r="N36" s="6">
        <v>20929993</v>
      </c>
    </row>
    <row r="37" spans="1:14" ht="54" x14ac:dyDescent="0.6">
      <c r="A37" s="18" t="s">
        <v>59</v>
      </c>
      <c r="B37" s="13" t="s">
        <v>60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4">
        <v>1633738</v>
      </c>
      <c r="J37" s="4">
        <v>-200534</v>
      </c>
      <c r="K37" s="4">
        <v>-66973</v>
      </c>
      <c r="L37" s="3">
        <v>0</v>
      </c>
      <c r="M37" s="4">
        <v>-600951</v>
      </c>
      <c r="N37" s="6">
        <v>765280</v>
      </c>
    </row>
    <row r="38" spans="1:14" ht="54" x14ac:dyDescent="0.6">
      <c r="A38" s="39"/>
      <c r="B38" s="37" t="s">
        <v>61</v>
      </c>
      <c r="C38" s="7">
        <v>3753213</v>
      </c>
      <c r="D38" s="7">
        <v>3038</v>
      </c>
      <c r="E38" s="7">
        <v>15626</v>
      </c>
      <c r="F38" s="8">
        <v>0</v>
      </c>
      <c r="G38" s="7">
        <v>2831</v>
      </c>
      <c r="H38" s="7">
        <v>3774708</v>
      </c>
      <c r="I38" s="7">
        <v>8342596</v>
      </c>
      <c r="J38" s="7">
        <v>1833715</v>
      </c>
      <c r="K38" s="7">
        <v>2466309</v>
      </c>
      <c r="L38" s="7">
        <v>3569353</v>
      </c>
      <c r="M38" s="7">
        <v>5483300</v>
      </c>
      <c r="N38" s="9">
        <v>21695273</v>
      </c>
    </row>
    <row r="39" spans="1:14" x14ac:dyDescent="0.6">
      <c r="A39" s="10"/>
    </row>
    <row r="40" spans="1:14" x14ac:dyDescent="0.6">
      <c r="A40" s="10"/>
    </row>
    <row r="41" spans="1:14" ht="40.5" x14ac:dyDescent="0.6">
      <c r="A41" s="10" t="s">
        <v>62</v>
      </c>
    </row>
    <row r="42" spans="1:14" x14ac:dyDescent="0.6">
      <c r="A42" s="10"/>
    </row>
    <row r="43" spans="1:14" ht="27" customHeight="1" x14ac:dyDescent="0.6">
      <c r="A43" s="24" t="s">
        <v>62</v>
      </c>
      <c r="B43" s="24"/>
    </row>
    <row r="44" spans="1:14" ht="27" x14ac:dyDescent="0.6">
      <c r="A44" s="10" t="s">
        <v>17</v>
      </c>
      <c r="B44" s="11" t="s">
        <v>18</v>
      </c>
    </row>
    <row r="45" spans="1:14" x14ac:dyDescent="0.6">
      <c r="A45" s="14"/>
      <c r="B45" s="15"/>
      <c r="C45" s="15"/>
      <c r="D45" s="15"/>
      <c r="E45" s="34" t="s">
        <v>19</v>
      </c>
      <c r="F45" s="35"/>
      <c r="G45" s="36"/>
    </row>
    <row r="46" spans="1:14" x14ac:dyDescent="0.6">
      <c r="A46" s="16"/>
      <c r="B46" s="12"/>
      <c r="C46" s="12"/>
      <c r="D46" s="12"/>
      <c r="E46" s="25" t="s">
        <v>20</v>
      </c>
      <c r="F46" s="26"/>
      <c r="G46" s="27"/>
    </row>
    <row r="47" spans="1:14" ht="67.5" customHeight="1" x14ac:dyDescent="0.6">
      <c r="A47" s="16"/>
      <c r="B47" s="12"/>
      <c r="C47" s="12"/>
      <c r="D47" s="12"/>
      <c r="E47" s="25" t="s">
        <v>21</v>
      </c>
      <c r="F47" s="26"/>
      <c r="G47" s="27"/>
    </row>
    <row r="48" spans="1:14" ht="27" customHeight="1" x14ac:dyDescent="0.6">
      <c r="A48" s="16"/>
      <c r="B48" s="12"/>
      <c r="C48" s="12"/>
      <c r="D48" s="12"/>
      <c r="E48" s="25" t="s">
        <v>22</v>
      </c>
      <c r="F48" s="26"/>
      <c r="G48" s="27"/>
    </row>
    <row r="49" spans="1:7" x14ac:dyDescent="0.6">
      <c r="A49" s="16"/>
      <c r="B49" s="12"/>
      <c r="C49" s="12"/>
      <c r="D49" s="12"/>
      <c r="E49" s="25" t="s">
        <v>23</v>
      </c>
      <c r="F49" s="26"/>
      <c r="G49" s="27"/>
    </row>
    <row r="50" spans="1:7" x14ac:dyDescent="0.6">
      <c r="A50" s="16"/>
      <c r="B50" s="12"/>
      <c r="C50" s="12"/>
      <c r="D50" s="12"/>
      <c r="E50" s="25" t="s">
        <v>24</v>
      </c>
      <c r="F50" s="26"/>
      <c r="G50" s="27"/>
    </row>
    <row r="51" spans="1:7" x14ac:dyDescent="0.6">
      <c r="A51" s="16"/>
      <c r="B51" s="12"/>
      <c r="C51" s="12"/>
      <c r="D51" s="12"/>
      <c r="E51" s="25" t="s">
        <v>25</v>
      </c>
      <c r="F51" s="26"/>
      <c r="G51" s="27"/>
    </row>
    <row r="52" spans="1:7" ht="54" x14ac:dyDescent="0.6">
      <c r="A52" s="16"/>
      <c r="B52" s="12"/>
      <c r="C52" s="12"/>
      <c r="D52" s="12"/>
      <c r="E52" s="12" t="s">
        <v>27</v>
      </c>
      <c r="F52" s="12" t="s">
        <v>28</v>
      </c>
      <c r="G52" s="17" t="s">
        <v>15</v>
      </c>
    </row>
    <row r="53" spans="1:7" ht="27" customHeight="1" x14ac:dyDescent="0.6">
      <c r="A53" s="21" t="s">
        <v>63</v>
      </c>
      <c r="B53" s="40"/>
      <c r="C53" s="40"/>
      <c r="D53" s="22"/>
      <c r="E53" s="4">
        <v>-1069175</v>
      </c>
      <c r="F53" s="4">
        <v>262323</v>
      </c>
      <c r="G53" s="6">
        <v>815223</v>
      </c>
    </row>
    <row r="54" spans="1:7" ht="40.5" customHeight="1" x14ac:dyDescent="0.6">
      <c r="A54" s="18" t="s">
        <v>63</v>
      </c>
      <c r="B54" s="41" t="s">
        <v>46</v>
      </c>
      <c r="C54" s="40"/>
      <c r="D54" s="22"/>
      <c r="E54" s="4">
        <v>-3225009</v>
      </c>
      <c r="F54" s="4">
        <v>333387</v>
      </c>
      <c r="G54" s="6">
        <v>2932693</v>
      </c>
    </row>
    <row r="55" spans="1:7" ht="40.5" customHeight="1" x14ac:dyDescent="0.6">
      <c r="A55" s="19"/>
      <c r="B55" s="41" t="s">
        <v>64</v>
      </c>
      <c r="C55" s="40"/>
      <c r="D55" s="22"/>
      <c r="E55" s="4">
        <v>2155834</v>
      </c>
      <c r="F55" s="4">
        <v>-71064</v>
      </c>
      <c r="G55" s="6">
        <v>-2117470</v>
      </c>
    </row>
    <row r="56" spans="1:7" ht="54" customHeight="1" x14ac:dyDescent="0.6">
      <c r="A56" s="19"/>
      <c r="B56" s="42" t="s">
        <v>64</v>
      </c>
      <c r="C56" s="41" t="s">
        <v>65</v>
      </c>
      <c r="D56" s="22"/>
      <c r="E56" s="4">
        <v>853072</v>
      </c>
      <c r="F56" s="3">
        <v>0</v>
      </c>
      <c r="G56" s="6">
        <v>-853072</v>
      </c>
    </row>
    <row r="57" spans="1:7" ht="121.5" x14ac:dyDescent="0.6">
      <c r="A57" s="19"/>
      <c r="B57" s="43"/>
      <c r="C57" s="42" t="s">
        <v>65</v>
      </c>
      <c r="D57" s="13" t="s">
        <v>66</v>
      </c>
      <c r="E57" s="4">
        <v>442871</v>
      </c>
      <c r="F57" s="3">
        <v>0</v>
      </c>
      <c r="G57" s="6">
        <v>-442871</v>
      </c>
    </row>
    <row r="58" spans="1:7" ht="27" customHeight="1" x14ac:dyDescent="0.6">
      <c r="A58" s="19"/>
      <c r="B58" s="43"/>
      <c r="C58" s="43"/>
      <c r="D58" s="13" t="s">
        <v>67</v>
      </c>
      <c r="E58" s="4">
        <v>-688879</v>
      </c>
      <c r="F58" s="3">
        <v>0</v>
      </c>
      <c r="G58" s="6">
        <v>688879</v>
      </c>
    </row>
    <row r="59" spans="1:7" ht="121.5" x14ac:dyDescent="0.6">
      <c r="A59" s="19"/>
      <c r="B59" s="43"/>
      <c r="C59" s="43"/>
      <c r="D59" s="13" t="s">
        <v>68</v>
      </c>
      <c r="E59" s="4">
        <v>1119294</v>
      </c>
      <c r="F59" s="3">
        <v>0</v>
      </c>
      <c r="G59" s="6">
        <v>-1119294</v>
      </c>
    </row>
    <row r="60" spans="1:7" ht="108" x14ac:dyDescent="0.6">
      <c r="A60" s="19"/>
      <c r="B60" s="43"/>
      <c r="C60" s="45"/>
      <c r="D60" s="13" t="s">
        <v>69</v>
      </c>
      <c r="E60" s="4">
        <v>-20214</v>
      </c>
      <c r="F60" s="3">
        <v>0</v>
      </c>
      <c r="G60" s="6">
        <v>20214</v>
      </c>
    </row>
    <row r="61" spans="1:7" ht="67.5" customHeight="1" x14ac:dyDescent="0.6">
      <c r="A61" s="19"/>
      <c r="B61" s="43"/>
      <c r="C61" s="41" t="s">
        <v>70</v>
      </c>
      <c r="D61" s="22"/>
      <c r="E61" s="4">
        <v>1302762</v>
      </c>
      <c r="F61" s="4">
        <v>-71064</v>
      </c>
      <c r="G61" s="6">
        <v>-1231698</v>
      </c>
    </row>
    <row r="62" spans="1:7" ht="54" customHeight="1" x14ac:dyDescent="0.6">
      <c r="A62" s="39"/>
      <c r="B62" s="44"/>
      <c r="C62" s="46" t="s">
        <v>71</v>
      </c>
      <c r="D62" s="23"/>
      <c r="E62" s="8">
        <v>0</v>
      </c>
      <c r="F62" s="8">
        <v>0</v>
      </c>
      <c r="G62" s="9">
        <v>-32700</v>
      </c>
    </row>
    <row r="63" spans="1:7" ht="27" customHeight="1" x14ac:dyDescent="0.6">
      <c r="A63" s="10"/>
    </row>
    <row r="64" spans="1:7" x14ac:dyDescent="0.6">
      <c r="A64" s="10"/>
    </row>
    <row r="65" spans="1:1" x14ac:dyDescent="0.6">
      <c r="A65" s="10"/>
    </row>
    <row r="78" spans="1:1" ht="27" customHeight="1" x14ac:dyDescent="0.6"/>
    <row r="83" ht="27" customHeight="1" x14ac:dyDescent="0.6"/>
    <row r="88" ht="27" customHeight="1" x14ac:dyDescent="0.6"/>
    <row r="109" ht="67.5" customHeight="1" x14ac:dyDescent="0.6"/>
    <row r="124" ht="27" customHeight="1" x14ac:dyDescent="0.6"/>
    <row r="129" ht="27" customHeight="1" x14ac:dyDescent="0.6"/>
    <row r="162" ht="27" customHeight="1" x14ac:dyDescent="0.6"/>
    <row r="167" ht="27" customHeight="1" x14ac:dyDescent="0.6"/>
  </sheetData>
  <mergeCells count="51">
    <mergeCell ref="E48:G48"/>
    <mergeCell ref="E49:G49"/>
    <mergeCell ref="E50:G50"/>
    <mergeCell ref="E51:G51"/>
    <mergeCell ref="A53:D53"/>
    <mergeCell ref="A54:A62"/>
    <mergeCell ref="B54:D54"/>
    <mergeCell ref="B55:D55"/>
    <mergeCell ref="B56:B62"/>
    <mergeCell ref="C56:D56"/>
    <mergeCell ref="C57:C60"/>
    <mergeCell ref="C61:D61"/>
    <mergeCell ref="C62:D62"/>
    <mergeCell ref="A43:B43"/>
    <mergeCell ref="E45:G45"/>
    <mergeCell ref="E46:G46"/>
    <mergeCell ref="E47:G47"/>
    <mergeCell ref="A29:A30"/>
    <mergeCell ref="A31:B31"/>
    <mergeCell ref="A32:A35"/>
    <mergeCell ref="A36:B36"/>
    <mergeCell ref="A37:A38"/>
    <mergeCell ref="A15:B15"/>
    <mergeCell ref="A16:A17"/>
    <mergeCell ref="A18:B18"/>
    <mergeCell ref="A19:A21"/>
    <mergeCell ref="A22:B22"/>
    <mergeCell ref="A23:A25"/>
    <mergeCell ref="A26:B26"/>
    <mergeCell ref="A27:B27"/>
    <mergeCell ref="A28:B28"/>
    <mergeCell ref="C11:N11"/>
    <mergeCell ref="C12:G12"/>
    <mergeCell ref="H12:H14"/>
    <mergeCell ref="I12:M12"/>
    <mergeCell ref="N12:N14"/>
    <mergeCell ref="C13:C14"/>
    <mergeCell ref="D13:D14"/>
    <mergeCell ref="E13:G13"/>
    <mergeCell ref="I13:I14"/>
    <mergeCell ref="J13:J14"/>
    <mergeCell ref="K13:M13"/>
    <mergeCell ref="A2:B2"/>
    <mergeCell ref="C4:N4"/>
    <mergeCell ref="C5:N5"/>
    <mergeCell ref="C6:N6"/>
    <mergeCell ref="C7:N7"/>
    <mergeCell ref="C8:N8"/>
    <mergeCell ref="C9:H9"/>
    <mergeCell ref="I9:N9"/>
    <mergeCell ref="C10:N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부문별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2026-06-03T00:25:46Z</dcterms:modified>
</cp:coreProperties>
</file>