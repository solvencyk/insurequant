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A4FDD3D9-F448-4275-8A1C-6EFE53235867}" xr6:coauthVersionLast="47" xr6:coauthVersionMax="47" xr10:uidLastSave="{00000000-0000-0000-0000-000000000000}"/>
  <bookViews>
    <workbookView xWindow="-83" yWindow="0" windowWidth="10965" windowHeight="12863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" i="2" l="1"/>
  <c r="J6" i="2"/>
  <c r="J4" i="2"/>
  <c r="J3" i="2"/>
  <c r="J2" i="2"/>
  <c r="J5" i="2" l="1"/>
  <c r="I7" i="2"/>
  <c r="I6" i="2"/>
  <c r="I4" i="2"/>
  <c r="I5" i="2" s="1"/>
  <c r="I3" i="2"/>
  <c r="I2" i="2"/>
  <c r="H7" i="2"/>
  <c r="H5" i="2" s="1"/>
  <c r="H6" i="2"/>
  <c r="H4" i="2"/>
  <c r="H3" i="2"/>
  <c r="H2" i="2"/>
</calcChain>
</file>

<file path=xl/sharedStrings.xml><?xml version="1.0" encoding="utf-8"?>
<sst xmlns="http://schemas.openxmlformats.org/spreadsheetml/2006/main" count="104" uniqueCount="60">
  <si>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</si>
  <si>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</si>
  <si>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</si>
  <si>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</si>
  <si>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</si>
  <si>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</si>
  <si>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</si>
  <si>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2025.4Q</t>
    <phoneticPr fontId="2" type="noConversion"/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</si>
  <si>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</si>
  <si>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</si>
  <si>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</si>
  <si>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</si>
  <si>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</si>
  <si>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</si>
  <si>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</si>
  <si>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당기</t>
  </si>
  <si>
    <t>보험계약의 세분</t>
  </si>
  <si>
    <t>발행한 보험계약</t>
  </si>
  <si>
    <t>보험계약</t>
  </si>
  <si>
    <t>보험료배분접근법을 적용한 보험계약 외의 보험계약</t>
  </si>
  <si>
    <t>계약의 유형</t>
  </si>
  <si>
    <t>구성요소별 보험계약</t>
  </si>
  <si>
    <t>미래 현금흐름의 현재가치 추정치</t>
  </si>
  <si>
    <t>비금융위험에 대한 위험조정</t>
  </si>
  <si>
    <t>자산인 보험계약의 기초 장부금액</t>
  </si>
  <si>
    <t>부채인 보험계약의 기초 장부금액</t>
  </si>
  <si>
    <t>현행 서비스와 관련된 변동에 따른 총 증가분(감소분), 보험계약부채(자산)</t>
  </si>
  <si>
    <t>과거 서비스와 관련된 변동분에 따른 증가분(감소분), 보험계약부채(자산)</t>
  </si>
  <si>
    <t>자산인 보험계약의 기말 장부금액</t>
  </si>
  <si>
    <t>부채인 보험계약의 기말 장부금액</t>
  </si>
  <si>
    <t>미래에셋생명</t>
    <phoneticPr fontId="2" type="noConversion"/>
  </si>
  <si>
    <t>생명보험</t>
    <phoneticPr fontId="2" type="noConversion"/>
  </si>
  <si>
    <t>보험계약부채(자산)의 보험계약 구성요소별 변동분에 대한 차이조정 공시(상품별 구분)</t>
  </si>
  <si>
    <t>(단위 : 원)</t>
  </si>
  <si>
    <t>사망보험</t>
  </si>
  <si>
    <t>건강보험</t>
  </si>
  <si>
    <t>연금보험</t>
  </si>
  <si>
    <t>저축보험</t>
  </si>
  <si>
    <t>기타보험</t>
  </si>
  <si>
    <t>전환일에 존재했던 계약 중 수정소급법을 적용한 계약의 보험계약마진</t>
  </si>
  <si>
    <t>전환일에 존재했던 계약 중 공정가치법을 적용한 계약의 보험계약마진</t>
  </si>
  <si>
    <t>전환일에 존재했던 계약 중 수정소급법이나 공정가치법을 적용하지 아니한 계약의 보험계약마진</t>
  </si>
  <si>
    <t>미래 서비스와 관련된 변동에 따른 증가분(감소분), 보험계약부채(자산) </t>
  </si>
  <si>
    <t>보험계약마진을 조정하는 변동</t>
  </si>
  <si>
    <t>보험계약마진을 조정하지 않는 변동</t>
  </si>
  <si>
    <t>처음 인식한 계약의 효과</t>
  </si>
  <si>
    <t>보험수익, 서비스의 이전으로 당기손익에 인식한 보험계약마진</t>
  </si>
  <si>
    <t>위험조정 변동분</t>
  </si>
  <si>
    <t>경험조정</t>
  </si>
  <si>
    <t>보험계약으로부터의 현금흐름</t>
  </si>
  <si>
    <t>수취한 보험료</t>
  </si>
  <si>
    <t>보험취득현금흐름 지급</t>
  </si>
  <si>
    <t>보험금(투자요소 포함) 및 기타보험서비스비용의 지급</t>
  </si>
  <si>
    <t>보험금융수익(비용)에 따른 증가분(감소분), 보험계약부채(자산)</t>
  </si>
  <si>
    <t>당기손익인식 보험금융손익</t>
  </si>
  <si>
    <t>기타포괄손익인식 보험금융손익</t>
  </si>
  <si>
    <t>기타증감</t>
  </si>
  <si>
    <t>사망보험</t>
    <phoneticPr fontId="2" type="noConversion"/>
  </si>
  <si>
    <t>건강보험</t>
    <phoneticPr fontId="2" type="noConversion"/>
  </si>
  <si>
    <t>연금저축보험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</si>
</sst>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N18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4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57</v>
      </c>
      <c r="I1" s="2" t="s">
        <v>58</v>
      </c>
      <c r="J1" s="2" t="s">
        <v>59</v>
      </c>
    </row>
    <row r="2" spans="1:14" x14ac:dyDescent="0.6">
      <c r="A2" s="2"/>
      <c r="B2" s="2" t="s">
        <v>30</v>
      </c>
      <c r="C2" s="2"/>
      <c r="D2" s="2" t="s">
        <v>31</v>
      </c>
      <c r="E2" s="2">
        <v>1</v>
      </c>
      <c r="F2" s="2" t="s">
        <v>8</v>
      </c>
      <c r="G2" s="2" t="s">
        <v>7</v>
      </c>
      <c r="H2" s="1">
        <f>(SUM(부문별!E14:G14)-SUM(부문별!E13:G13))/1000000</f>
        <v>785940.82819200004</v>
      </c>
      <c r="I2" s="1">
        <f>(SUM(부문별!J14:L14)-SUM(부문별!J13:L13))/1000000</f>
        <v>883688.15970600001</v>
      </c>
      <c r="J2" s="1">
        <f>(SUM(부문별!O14:Q14)-SUM(부문별!O13:Q13)+SUM(부문별!T14:V14)-SUM(부문별!T13:V13)+SUM(부문별!Y14:AA14)-SUM(부문별!Y13:AA13))/1000000</f>
        <v>408583.08108099998</v>
      </c>
      <c r="K2" s="1"/>
      <c r="L2" s="1"/>
      <c r="N2" s="1"/>
    </row>
    <row r="3" spans="1:14" x14ac:dyDescent="0.6">
      <c r="A3" s="2"/>
      <c r="B3" s="2" t="s">
        <v>30</v>
      </c>
      <c r="C3" s="2"/>
      <c r="D3" s="2" t="s">
        <v>31</v>
      </c>
      <c r="E3" s="2">
        <v>2</v>
      </c>
      <c r="F3" s="2" t="s">
        <v>9</v>
      </c>
      <c r="G3" s="2" t="s">
        <v>7</v>
      </c>
      <c r="H3" s="1">
        <f>SUM(부문별!E18:G18)/1000000</f>
        <v>42762.869628</v>
      </c>
      <c r="I3" s="1">
        <f>SUM(부문별!J18:L18)/1000000</f>
        <v>428736.37896</v>
      </c>
      <c r="J3" s="1">
        <f>SUM(부문별!O18:Q18,부문별!T18:V18,부문별!Y18:AA18)/1000000</f>
        <v>68378.866754999995</v>
      </c>
      <c r="K3" s="1"/>
      <c r="L3" s="1"/>
      <c r="N3" s="1"/>
    </row>
    <row r="4" spans="1:14" x14ac:dyDescent="0.6">
      <c r="A4" s="2"/>
      <c r="B4" s="2" t="s">
        <v>30</v>
      </c>
      <c r="C4" s="2"/>
      <c r="D4" s="2" t="s">
        <v>31</v>
      </c>
      <c r="E4">
        <v>3</v>
      </c>
      <c r="F4" s="2" t="s">
        <v>10</v>
      </c>
      <c r="G4" t="s">
        <v>7</v>
      </c>
      <c r="H4" s="1">
        <f>SUM(부문별!E29:G30)/1000000</f>
        <v>19322.245901999999</v>
      </c>
      <c r="I4" s="1">
        <f>SUM(부문별!J29:L30)/1000000</f>
        <v>35327.814977000002</v>
      </c>
      <c r="J4" s="1">
        <f>SUM(부문별!O29:Q30,부문별!T29:V30,부문별!Y29:AA30)/1000000</f>
        <v>6007.8624540000001</v>
      </c>
      <c r="K4" s="1"/>
      <c r="L4" s="1"/>
      <c r="N4" s="1"/>
    </row>
    <row r="5" spans="1:14" x14ac:dyDescent="0.6">
      <c r="A5" s="2"/>
      <c r="B5" s="2" t="s">
        <v>30</v>
      </c>
      <c r="C5" s="2"/>
      <c r="D5" s="2" t="s">
        <v>31</v>
      </c>
      <c r="E5" s="2">
        <v>4</v>
      </c>
      <c r="F5" s="2" t="s">
        <v>14</v>
      </c>
      <c r="G5" t="s">
        <v>7</v>
      </c>
      <c r="H5" s="1">
        <f t="shared" ref="H5:J5" si="0">H7-H6-H4-H3-H2</f>
        <v>-205836.29549599998</v>
      </c>
      <c r="I5" s="1">
        <f t="shared" ref="I5" si="1">I7-I6-I4-I3-I2</f>
        <v>-323013.94357</v>
      </c>
      <c r="J5" s="1">
        <f t="shared" ref="J5" si="2">J7-J6-J4-J3-J2</f>
        <v>114356.735223</v>
      </c>
      <c r="K5" s="1"/>
      <c r="L5" s="1"/>
      <c r="N5" s="1"/>
    </row>
    <row r="6" spans="1:14" x14ac:dyDescent="0.6">
      <c r="A6" s="2"/>
      <c r="B6" s="2" t="s">
        <v>30</v>
      </c>
      <c r="C6" s="2"/>
      <c r="D6" s="2" t="s">
        <v>31</v>
      </c>
      <c r="E6" s="2">
        <v>5</v>
      </c>
      <c r="F6" s="2" t="s">
        <v>11</v>
      </c>
      <c r="G6" t="s">
        <v>7</v>
      </c>
      <c r="H6" s="1">
        <f>SUM(부문별!E20:G20)/1000000</f>
        <v>-58832.756757000003</v>
      </c>
      <c r="I6" s="1">
        <f>SUM(부문별!J20:L20)/1000000</f>
        <v>-81780.174306000001</v>
      </c>
      <c r="J6" s="1">
        <f>SUM(부문별!O20:Q20,부문별!T20:V20,부문별!Y20:AA20)/1000000</f>
        <v>-65218.552702000001</v>
      </c>
      <c r="K6" s="1"/>
      <c r="L6" s="1"/>
      <c r="N6" s="1"/>
    </row>
    <row r="7" spans="1:14" x14ac:dyDescent="0.6">
      <c r="A7" s="2"/>
      <c r="B7" s="2" t="s">
        <v>30</v>
      </c>
      <c r="C7" s="2"/>
      <c r="D7" s="2" t="s">
        <v>31</v>
      </c>
      <c r="E7" s="2">
        <v>6</v>
      </c>
      <c r="F7" s="2" t="s">
        <v>12</v>
      </c>
      <c r="G7" t="s">
        <v>7</v>
      </c>
      <c r="H7" s="1">
        <f>(SUM(부문별!E33:G33)-SUM(부문별!E32:G32))/1000000</f>
        <v>583356.89146900002</v>
      </c>
      <c r="I7" s="1">
        <f>(SUM(부문별!J33:L33)-SUM(부문별!J32:L32))/1000000</f>
        <v>942958.23576700001</v>
      </c>
      <c r="J7" s="1">
        <f>(SUM(부문별!O33:Q33)-SUM(부문별!O32:Q32)+SUM(부문별!T33:V33)-SUM(부문별!T32:V32)+SUM(부문별!Y33:AA33)-SUM(부문별!Y32:AA32))/1000000</f>
        <v>532107.99281099997</v>
      </c>
      <c r="K7" s="1"/>
      <c r="L7" s="1"/>
      <c r="N7" s="1"/>
    </row>
    <row r="8" spans="1:14" x14ac:dyDescent="0.6">
      <c r="A8" s="2"/>
      <c r="B8" s="2"/>
      <c r="C8" s="2"/>
      <c r="D8" s="2"/>
      <c r="H8" s="1"/>
    </row>
    <row r="9" spans="1:14" x14ac:dyDescent="0.6">
      <c r="A9" s="2"/>
      <c r="B9" s="2"/>
      <c r="C9" s="2"/>
      <c r="D9" s="2"/>
      <c r="H9" s="1"/>
    </row>
    <row r="10" spans="1:14" x14ac:dyDescent="0.6">
      <c r="A10" s="2"/>
      <c r="B10" s="2"/>
      <c r="C10" s="2"/>
      <c r="D10" s="2"/>
      <c r="H10" s="1"/>
    </row>
    <row r="11" spans="1:14" x14ac:dyDescent="0.6">
      <c r="A11" s="2"/>
      <c r="B11" s="2"/>
      <c r="C11" s="2"/>
      <c r="D11" s="2"/>
      <c r="H11" s="1"/>
    </row>
    <row r="12" spans="1:14" x14ac:dyDescent="0.6">
      <c r="A12" s="2"/>
      <c r="B12" s="2"/>
      <c r="C12" s="2"/>
      <c r="D12" s="2"/>
      <c r="H12" s="1"/>
    </row>
    <row r="13" spans="1:14" x14ac:dyDescent="0.6">
      <c r="A13" s="2"/>
      <c r="B13" s="2"/>
      <c r="C13" s="2"/>
      <c r="D13" s="2"/>
      <c r="H13" s="1"/>
    </row>
    <row r="14" spans="1:14" x14ac:dyDescent="0.6">
      <c r="A14" s="2"/>
      <c r="B14" s="2"/>
      <c r="C14" s="2"/>
      <c r="D14" s="2"/>
      <c r="H14" s="1"/>
    </row>
    <row r="15" spans="1:14" x14ac:dyDescent="0.6">
      <c r="A15" s="2"/>
      <c r="B15" s="2"/>
      <c r="C15" s="2"/>
      <c r="D15" s="2"/>
      <c r="H15" s="1"/>
    </row>
    <row r="16" spans="1:14" x14ac:dyDescent="0.6">
      <c r="A16" s="2"/>
      <c r="B16" s="2"/>
      <c r="C16" s="2"/>
      <c r="D16" s="2"/>
      <c r="H16" s="1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AA167"/>
  <sheetViews>
    <sheetView zoomScale="51" workbookViewId="0">
      <pane xSplit="1" ySplit="14" topLeftCell="K24" activePane="bottomRight" state="frozen"/>
      <selection pane="topRight" activeCell="C1" sqref="C1"/>
      <selection pane="bottomLeft" activeCell="A15" sqref="A15"/>
      <selection pane="bottomRight" activeCell="U37" sqref="U37"/>
    </sheetView>
  </sheetViews>
  <sheetFormatPr defaultRowHeight="16.899999999999999" x14ac:dyDescent="0.6"/>
  <cols>
    <col min="1" max="1" width="10" bestFit="1" customWidth="1"/>
  </cols>
  <sheetData>
    <row r="1" spans="1:27" ht="67.5" customHeight="1" x14ac:dyDescent="0.6">
      <c r="A1" s="10" t="s">
        <v>32</v>
      </c>
    </row>
    <row r="2" spans="1:27" ht="54" customHeight="1" x14ac:dyDescent="0.6">
      <c r="A2" s="26" t="s">
        <v>32</v>
      </c>
      <c r="B2" s="26"/>
    </row>
    <row r="3" spans="1:27" ht="27" x14ac:dyDescent="0.6">
      <c r="A3" s="10" t="s">
        <v>15</v>
      </c>
      <c r="B3" s="11" t="s">
        <v>33</v>
      </c>
    </row>
    <row r="4" spans="1:27" x14ac:dyDescent="0.6">
      <c r="A4" s="14"/>
      <c r="B4" s="15"/>
      <c r="C4" s="27" t="s">
        <v>16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9"/>
    </row>
    <row r="5" spans="1:27" x14ac:dyDescent="0.6">
      <c r="A5" s="16"/>
      <c r="B5" s="12"/>
      <c r="C5" s="18" t="s">
        <v>17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20"/>
    </row>
    <row r="6" spans="1:27" x14ac:dyDescent="0.6">
      <c r="A6" s="16"/>
      <c r="B6" s="12"/>
      <c r="C6" s="18" t="s">
        <v>18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</row>
    <row r="7" spans="1:27" x14ac:dyDescent="0.6">
      <c r="A7" s="16"/>
      <c r="B7" s="12"/>
      <c r="C7" s="18" t="s">
        <v>19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20"/>
    </row>
    <row r="8" spans="1:27" x14ac:dyDescent="0.6">
      <c r="A8" s="16"/>
      <c r="B8" s="12"/>
      <c r="C8" s="18" t="s">
        <v>20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20"/>
    </row>
    <row r="9" spans="1:27" x14ac:dyDescent="0.6">
      <c r="A9" s="16"/>
      <c r="B9" s="12"/>
      <c r="C9" s="18" t="s">
        <v>34</v>
      </c>
      <c r="D9" s="19"/>
      <c r="E9" s="19"/>
      <c r="F9" s="19"/>
      <c r="G9" s="31"/>
      <c r="H9" s="18" t="s">
        <v>35</v>
      </c>
      <c r="I9" s="19"/>
      <c r="J9" s="19"/>
      <c r="K9" s="19"/>
      <c r="L9" s="31"/>
      <c r="M9" s="18" t="s">
        <v>36</v>
      </c>
      <c r="N9" s="19"/>
      <c r="O9" s="19"/>
      <c r="P9" s="19"/>
      <c r="Q9" s="31"/>
      <c r="R9" s="18" t="s">
        <v>37</v>
      </c>
      <c r="S9" s="19"/>
      <c r="T9" s="19"/>
      <c r="U9" s="19"/>
      <c r="V9" s="31"/>
      <c r="W9" s="18" t="s">
        <v>38</v>
      </c>
      <c r="X9" s="19"/>
      <c r="Y9" s="19"/>
      <c r="Z9" s="19"/>
      <c r="AA9" s="20"/>
    </row>
    <row r="10" spans="1:27" x14ac:dyDescent="0.6">
      <c r="A10" s="16"/>
      <c r="B10" s="12"/>
      <c r="C10" s="18" t="s">
        <v>21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</row>
    <row r="11" spans="1:27" ht="27" customHeight="1" x14ac:dyDescent="0.6">
      <c r="A11" s="16"/>
      <c r="B11" s="12"/>
      <c r="C11" s="32" t="s">
        <v>22</v>
      </c>
      <c r="D11" s="32" t="s">
        <v>23</v>
      </c>
      <c r="E11" s="18" t="s">
        <v>13</v>
      </c>
      <c r="F11" s="19"/>
      <c r="G11" s="31"/>
      <c r="H11" s="32" t="s">
        <v>22</v>
      </c>
      <c r="I11" s="32" t="s">
        <v>23</v>
      </c>
      <c r="J11" s="18" t="s">
        <v>13</v>
      </c>
      <c r="K11" s="19"/>
      <c r="L11" s="31"/>
      <c r="M11" s="32" t="s">
        <v>22</v>
      </c>
      <c r="N11" s="32" t="s">
        <v>23</v>
      </c>
      <c r="O11" s="18" t="s">
        <v>13</v>
      </c>
      <c r="P11" s="19"/>
      <c r="Q11" s="31"/>
      <c r="R11" s="32" t="s">
        <v>22</v>
      </c>
      <c r="S11" s="32" t="s">
        <v>23</v>
      </c>
      <c r="T11" s="18" t="s">
        <v>13</v>
      </c>
      <c r="U11" s="19"/>
      <c r="V11" s="31"/>
      <c r="W11" s="32" t="s">
        <v>22</v>
      </c>
      <c r="X11" s="32" t="s">
        <v>23</v>
      </c>
      <c r="Y11" s="18" t="s">
        <v>13</v>
      </c>
      <c r="Z11" s="19"/>
      <c r="AA11" s="20"/>
    </row>
    <row r="12" spans="1:27" ht="27" customHeight="1" x14ac:dyDescent="0.6">
      <c r="A12" s="16"/>
      <c r="B12" s="12"/>
      <c r="C12" s="33"/>
      <c r="D12" s="33"/>
      <c r="E12" s="12" t="s">
        <v>39</v>
      </c>
      <c r="F12" s="12" t="s">
        <v>40</v>
      </c>
      <c r="G12" s="12" t="s">
        <v>41</v>
      </c>
      <c r="H12" s="33"/>
      <c r="I12" s="33"/>
      <c r="J12" s="12" t="s">
        <v>39</v>
      </c>
      <c r="K12" s="12" t="s">
        <v>40</v>
      </c>
      <c r="L12" s="12" t="s">
        <v>41</v>
      </c>
      <c r="M12" s="33"/>
      <c r="N12" s="33"/>
      <c r="O12" s="12" t="s">
        <v>39</v>
      </c>
      <c r="P12" s="12" t="s">
        <v>40</v>
      </c>
      <c r="Q12" s="12" t="s">
        <v>41</v>
      </c>
      <c r="R12" s="33"/>
      <c r="S12" s="33"/>
      <c r="T12" s="12" t="s">
        <v>39</v>
      </c>
      <c r="U12" s="12" t="s">
        <v>40</v>
      </c>
      <c r="V12" s="12" t="s">
        <v>41</v>
      </c>
      <c r="W12" s="33"/>
      <c r="X12" s="33"/>
      <c r="Y12" s="12" t="s">
        <v>39</v>
      </c>
      <c r="Z12" s="12" t="s">
        <v>40</v>
      </c>
      <c r="AA12" s="17" t="s">
        <v>41</v>
      </c>
    </row>
    <row r="13" spans="1:27" ht="27" customHeight="1" x14ac:dyDescent="0.6">
      <c r="A13" s="21" t="s">
        <v>24</v>
      </c>
      <c r="B13" s="2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5"/>
    </row>
    <row r="14" spans="1:27" x14ac:dyDescent="0.6">
      <c r="A14" s="21" t="s">
        <v>25</v>
      </c>
      <c r="B14" s="22"/>
      <c r="C14" s="4">
        <v>5432746892064</v>
      </c>
      <c r="D14" s="4">
        <v>165904910434</v>
      </c>
      <c r="E14" s="4">
        <v>254672309996</v>
      </c>
      <c r="F14" s="4">
        <v>332140406646</v>
      </c>
      <c r="G14" s="4">
        <v>199128111550</v>
      </c>
      <c r="H14" s="4">
        <v>2726071772510</v>
      </c>
      <c r="I14" s="4">
        <v>141890299452</v>
      </c>
      <c r="J14" s="4">
        <v>141225497940</v>
      </c>
      <c r="K14" s="4">
        <v>267009347578</v>
      </c>
      <c r="L14" s="4">
        <v>475453314188</v>
      </c>
      <c r="M14" s="4">
        <v>9418031940440</v>
      </c>
      <c r="N14" s="4">
        <v>36746791727</v>
      </c>
      <c r="O14" s="4">
        <v>23498857374</v>
      </c>
      <c r="P14" s="4">
        <v>203260357572</v>
      </c>
      <c r="Q14" s="4">
        <v>12567889452</v>
      </c>
      <c r="R14" s="4">
        <v>6190308438302</v>
      </c>
      <c r="S14" s="4">
        <v>42170682928</v>
      </c>
      <c r="T14" s="4">
        <v>33077132570</v>
      </c>
      <c r="U14" s="4">
        <v>116524947537</v>
      </c>
      <c r="V14" s="4">
        <v>19005057258</v>
      </c>
      <c r="W14" s="4">
        <v>16328038517</v>
      </c>
      <c r="X14" s="3">
        <v>0</v>
      </c>
      <c r="Y14" s="3">
        <v>0</v>
      </c>
      <c r="Z14" s="4">
        <v>648839318</v>
      </c>
      <c r="AA14" s="5">
        <v>0</v>
      </c>
    </row>
    <row r="15" spans="1:27" ht="54" customHeight="1" x14ac:dyDescent="0.6">
      <c r="A15" s="21" t="s">
        <v>42</v>
      </c>
      <c r="B15" s="2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34"/>
    </row>
    <row r="16" spans="1:27" ht="54" x14ac:dyDescent="0.6">
      <c r="A16" s="23" t="s">
        <v>42</v>
      </c>
      <c r="B16" s="13" t="s">
        <v>43</v>
      </c>
      <c r="C16" s="4">
        <v>210647299862</v>
      </c>
      <c r="D16" s="4">
        <v>-4811004366</v>
      </c>
      <c r="E16" s="4">
        <v>-55298738834</v>
      </c>
      <c r="F16" s="4">
        <v>-101072009729</v>
      </c>
      <c r="G16" s="4">
        <v>-49465546933</v>
      </c>
      <c r="H16" s="4">
        <v>342285922810</v>
      </c>
      <c r="I16" s="4">
        <v>-19271979240</v>
      </c>
      <c r="J16" s="4">
        <v>-16991890593</v>
      </c>
      <c r="K16" s="4">
        <v>-48068104323</v>
      </c>
      <c r="L16" s="4">
        <v>-257953948654</v>
      </c>
      <c r="M16" s="4">
        <v>11667676947</v>
      </c>
      <c r="N16" s="4">
        <v>-186375224</v>
      </c>
      <c r="O16" s="4">
        <v>-3394065953</v>
      </c>
      <c r="P16" s="4">
        <v>17927388097</v>
      </c>
      <c r="Q16" s="4">
        <v>-26014623867</v>
      </c>
      <c r="R16" s="4">
        <v>-132249881662</v>
      </c>
      <c r="S16" s="4">
        <v>5341995248</v>
      </c>
      <c r="T16" s="4">
        <v>6068394068</v>
      </c>
      <c r="U16" s="4">
        <v>129864605759</v>
      </c>
      <c r="V16" s="4">
        <v>-9025113413</v>
      </c>
      <c r="W16" s="4">
        <v>1074279481</v>
      </c>
      <c r="X16" s="4">
        <v>-4430013</v>
      </c>
      <c r="Y16" s="3">
        <v>0</v>
      </c>
      <c r="Z16" s="4">
        <v>-596312971</v>
      </c>
      <c r="AA16" s="6">
        <v>-473536497</v>
      </c>
    </row>
    <row r="17" spans="1:27" ht="27" customHeight="1" x14ac:dyDescent="0.6">
      <c r="A17" s="24"/>
      <c r="B17" s="13" t="s">
        <v>44</v>
      </c>
      <c r="C17" s="4">
        <v>31725317828</v>
      </c>
      <c r="D17" s="4">
        <v>-724579155</v>
      </c>
      <c r="E17" s="3">
        <v>0</v>
      </c>
      <c r="F17" s="3">
        <v>0</v>
      </c>
      <c r="G17" s="3">
        <v>0</v>
      </c>
      <c r="H17" s="4">
        <v>2949382804</v>
      </c>
      <c r="I17" s="4">
        <v>-166061297</v>
      </c>
      <c r="J17" s="3">
        <v>0</v>
      </c>
      <c r="K17" s="3">
        <v>0</v>
      </c>
      <c r="L17" s="3">
        <v>0</v>
      </c>
      <c r="M17" s="4">
        <v>26651171319</v>
      </c>
      <c r="N17" s="4">
        <v>-425716109</v>
      </c>
      <c r="O17" s="3">
        <v>0</v>
      </c>
      <c r="P17" s="3">
        <v>0</v>
      </c>
      <c r="Q17" s="3">
        <v>0</v>
      </c>
      <c r="R17" s="4">
        <v>-1796164424</v>
      </c>
      <c r="S17" s="4">
        <v>72552820</v>
      </c>
      <c r="T17" s="3">
        <v>0</v>
      </c>
      <c r="U17" s="3">
        <v>0</v>
      </c>
      <c r="V17" s="3">
        <v>0</v>
      </c>
      <c r="W17" s="4">
        <v>37313271</v>
      </c>
      <c r="X17" s="4">
        <v>-153869</v>
      </c>
      <c r="Y17" s="3">
        <v>0</v>
      </c>
      <c r="Z17" s="3">
        <v>0</v>
      </c>
      <c r="AA17" s="5">
        <v>0</v>
      </c>
    </row>
    <row r="18" spans="1:27" ht="54" customHeight="1" x14ac:dyDescent="0.6">
      <c r="A18" s="30"/>
      <c r="B18" s="13" t="s">
        <v>45</v>
      </c>
      <c r="C18" s="4">
        <v>-46085430964</v>
      </c>
      <c r="D18" s="4">
        <v>4472476648</v>
      </c>
      <c r="E18" s="3">
        <v>0</v>
      </c>
      <c r="F18" s="3">
        <v>0</v>
      </c>
      <c r="G18" s="4">
        <v>42762869628</v>
      </c>
      <c r="H18" s="4">
        <v>-481561998468</v>
      </c>
      <c r="I18" s="4">
        <v>59042890025</v>
      </c>
      <c r="J18" s="3">
        <v>0</v>
      </c>
      <c r="K18" s="3">
        <v>0</v>
      </c>
      <c r="L18" s="4">
        <v>428736378960</v>
      </c>
      <c r="M18" s="4">
        <v>-41115430451</v>
      </c>
      <c r="N18" s="4">
        <v>3578030030</v>
      </c>
      <c r="O18" s="3">
        <v>0</v>
      </c>
      <c r="P18" s="3">
        <v>0</v>
      </c>
      <c r="Q18" s="4">
        <v>38252289940</v>
      </c>
      <c r="R18" s="4">
        <v>-28860619648</v>
      </c>
      <c r="S18" s="4">
        <v>2850676672</v>
      </c>
      <c r="T18" s="3">
        <v>0</v>
      </c>
      <c r="U18" s="3">
        <v>0</v>
      </c>
      <c r="V18" s="4">
        <v>26313645583</v>
      </c>
      <c r="W18" s="4">
        <v>-3878605623</v>
      </c>
      <c r="X18" s="4">
        <v>66997413</v>
      </c>
      <c r="Y18" s="3">
        <v>0</v>
      </c>
      <c r="Z18" s="3">
        <v>0</v>
      </c>
      <c r="AA18" s="6">
        <v>3812931232</v>
      </c>
    </row>
    <row r="19" spans="1:27" x14ac:dyDescent="0.6">
      <c r="A19" s="21" t="s">
        <v>26</v>
      </c>
      <c r="B19" s="2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5"/>
    </row>
    <row r="20" spans="1:27" ht="94.5" x14ac:dyDescent="0.6">
      <c r="A20" s="23" t="s">
        <v>26</v>
      </c>
      <c r="B20" s="13" t="s">
        <v>46</v>
      </c>
      <c r="C20" s="3">
        <v>0</v>
      </c>
      <c r="D20" s="3">
        <v>0</v>
      </c>
      <c r="E20" s="4">
        <v>-17291145164</v>
      </c>
      <c r="F20" s="4">
        <v>-21565046307</v>
      </c>
      <c r="G20" s="4">
        <v>-19976565286</v>
      </c>
      <c r="H20" s="3">
        <v>0</v>
      </c>
      <c r="I20" s="3">
        <v>0</v>
      </c>
      <c r="J20" s="4">
        <v>-10000469469</v>
      </c>
      <c r="K20" s="4">
        <v>-21801688158</v>
      </c>
      <c r="L20" s="4">
        <v>-49978016679</v>
      </c>
      <c r="M20" s="3">
        <v>0</v>
      </c>
      <c r="N20" s="3">
        <v>0</v>
      </c>
      <c r="O20" s="4">
        <v>-2689752156</v>
      </c>
      <c r="P20" s="4">
        <v>-28157207902</v>
      </c>
      <c r="Q20" s="4">
        <v>-2785419853</v>
      </c>
      <c r="R20" s="3">
        <v>0</v>
      </c>
      <c r="S20" s="3">
        <v>0</v>
      </c>
      <c r="T20" s="4">
        <v>-5630320853</v>
      </c>
      <c r="U20" s="4">
        <v>-19706654532</v>
      </c>
      <c r="V20" s="4">
        <v>-6033978065</v>
      </c>
      <c r="W20" s="3">
        <v>0</v>
      </c>
      <c r="X20" s="3">
        <v>0</v>
      </c>
      <c r="Y20" s="3">
        <v>0</v>
      </c>
      <c r="Z20" s="4">
        <v>-43444029</v>
      </c>
      <c r="AA20" s="6">
        <v>-171775312</v>
      </c>
    </row>
    <row r="21" spans="1:27" ht="27" x14ac:dyDescent="0.6">
      <c r="A21" s="24"/>
      <c r="B21" s="13" t="s">
        <v>47</v>
      </c>
      <c r="C21" s="3">
        <v>0</v>
      </c>
      <c r="D21" s="4">
        <v>-14083445914</v>
      </c>
      <c r="E21" s="3">
        <v>0</v>
      </c>
      <c r="F21" s="3">
        <v>0</v>
      </c>
      <c r="G21" s="3">
        <v>0</v>
      </c>
      <c r="H21" s="3">
        <v>0</v>
      </c>
      <c r="I21" s="4">
        <v>-12597641632</v>
      </c>
      <c r="J21" s="3">
        <v>0</v>
      </c>
      <c r="K21" s="3">
        <v>0</v>
      </c>
      <c r="L21" s="3">
        <v>0</v>
      </c>
      <c r="M21" s="3">
        <v>0</v>
      </c>
      <c r="N21" s="4">
        <v>-5482994259</v>
      </c>
      <c r="O21" s="3">
        <v>0</v>
      </c>
      <c r="P21" s="3">
        <v>0</v>
      </c>
      <c r="Q21" s="3">
        <v>0</v>
      </c>
      <c r="R21" s="3">
        <v>0</v>
      </c>
      <c r="S21" s="4">
        <v>-5445444054</v>
      </c>
      <c r="T21" s="3">
        <v>0</v>
      </c>
      <c r="U21" s="3">
        <v>0</v>
      </c>
      <c r="V21" s="3">
        <v>0</v>
      </c>
      <c r="W21" s="3">
        <v>0</v>
      </c>
      <c r="X21" s="4">
        <v>-6259078</v>
      </c>
      <c r="Y21" s="3">
        <v>0</v>
      </c>
      <c r="Z21" s="3">
        <v>0</v>
      </c>
      <c r="AA21" s="5">
        <v>0</v>
      </c>
    </row>
    <row r="22" spans="1:27" ht="54" customHeight="1" x14ac:dyDescent="0.6">
      <c r="A22" s="30"/>
      <c r="B22" s="13" t="s">
        <v>48</v>
      </c>
      <c r="C22" s="4">
        <v>-5873816490</v>
      </c>
      <c r="D22" s="3">
        <v>0</v>
      </c>
      <c r="E22" s="3">
        <v>0</v>
      </c>
      <c r="F22" s="3">
        <v>0</v>
      </c>
      <c r="G22" s="3">
        <v>0</v>
      </c>
      <c r="H22" s="4">
        <v>-11100560705</v>
      </c>
      <c r="I22" s="3">
        <v>0</v>
      </c>
      <c r="J22" s="3">
        <v>0</v>
      </c>
      <c r="K22" s="3">
        <v>0</v>
      </c>
      <c r="L22" s="3">
        <v>0</v>
      </c>
      <c r="M22" s="4">
        <v>1627214083</v>
      </c>
      <c r="N22" s="3">
        <v>0</v>
      </c>
      <c r="O22" s="3">
        <v>0</v>
      </c>
      <c r="P22" s="3">
        <v>0</v>
      </c>
      <c r="Q22" s="3">
        <v>0</v>
      </c>
      <c r="R22" s="4">
        <v>-10774575070</v>
      </c>
      <c r="S22" s="3">
        <v>0</v>
      </c>
      <c r="T22" s="3">
        <v>0</v>
      </c>
      <c r="U22" s="3">
        <v>0</v>
      </c>
      <c r="V22" s="3">
        <v>0</v>
      </c>
      <c r="W22" s="4">
        <v>648684431</v>
      </c>
      <c r="X22" s="3">
        <v>0</v>
      </c>
      <c r="Y22" s="3">
        <v>0</v>
      </c>
      <c r="Z22" s="3">
        <v>0</v>
      </c>
      <c r="AA22" s="5">
        <v>0</v>
      </c>
    </row>
    <row r="23" spans="1:27" x14ac:dyDescent="0.6">
      <c r="A23" s="21" t="s">
        <v>27</v>
      </c>
      <c r="B23" s="22"/>
      <c r="C23" s="4">
        <v>2697187201</v>
      </c>
      <c r="D23" s="4">
        <v>-2956359904</v>
      </c>
      <c r="E23" s="3">
        <v>0</v>
      </c>
      <c r="F23" s="3">
        <v>0</v>
      </c>
      <c r="G23" s="3">
        <v>0</v>
      </c>
      <c r="H23" s="4">
        <v>23578927594</v>
      </c>
      <c r="I23" s="4">
        <v>-3325371920</v>
      </c>
      <c r="J23" s="3">
        <v>0</v>
      </c>
      <c r="K23" s="3">
        <v>0</v>
      </c>
      <c r="L23" s="3">
        <v>0</v>
      </c>
      <c r="M23" s="4">
        <v>913265707</v>
      </c>
      <c r="N23" s="4">
        <v>-87489221</v>
      </c>
      <c r="O23" s="3">
        <v>0</v>
      </c>
      <c r="P23" s="3">
        <v>0</v>
      </c>
      <c r="Q23" s="3">
        <v>0</v>
      </c>
      <c r="R23" s="4">
        <v>-973060287</v>
      </c>
      <c r="S23" s="4">
        <v>-262182345</v>
      </c>
      <c r="T23" s="3">
        <v>0</v>
      </c>
      <c r="U23" s="3">
        <v>0</v>
      </c>
      <c r="V23" s="3">
        <v>0</v>
      </c>
      <c r="W23" s="4">
        <v>-108153</v>
      </c>
      <c r="X23" s="4">
        <v>-13703</v>
      </c>
      <c r="Y23" s="3">
        <v>0</v>
      </c>
      <c r="Z23" s="3">
        <v>0</v>
      </c>
      <c r="AA23" s="5">
        <v>0</v>
      </c>
    </row>
    <row r="24" spans="1:27" x14ac:dyDescent="0.6">
      <c r="A24" s="21" t="s">
        <v>49</v>
      </c>
      <c r="B24" s="2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5"/>
    </row>
    <row r="25" spans="1:27" ht="27" x14ac:dyDescent="0.6">
      <c r="A25" s="23" t="s">
        <v>49</v>
      </c>
      <c r="B25" s="13" t="s">
        <v>50</v>
      </c>
      <c r="C25" s="4">
        <v>1219475543178</v>
      </c>
      <c r="D25" s="3">
        <v>0</v>
      </c>
      <c r="E25" s="3">
        <v>0</v>
      </c>
      <c r="F25" s="3">
        <v>0</v>
      </c>
      <c r="G25" s="3">
        <v>0</v>
      </c>
      <c r="H25" s="4">
        <v>606576513061</v>
      </c>
      <c r="I25" s="3">
        <v>0</v>
      </c>
      <c r="J25" s="3">
        <v>0</v>
      </c>
      <c r="K25" s="3">
        <v>0</v>
      </c>
      <c r="L25" s="3">
        <v>0</v>
      </c>
      <c r="M25" s="4">
        <v>963109376367</v>
      </c>
      <c r="N25" s="3">
        <v>0</v>
      </c>
      <c r="O25" s="3">
        <v>0</v>
      </c>
      <c r="P25" s="3">
        <v>0</v>
      </c>
      <c r="Q25" s="3">
        <v>0</v>
      </c>
      <c r="R25" s="4">
        <v>1228853442475</v>
      </c>
      <c r="S25" s="3">
        <v>0</v>
      </c>
      <c r="T25" s="3">
        <v>0</v>
      </c>
      <c r="U25" s="3">
        <v>0</v>
      </c>
      <c r="V25" s="3">
        <v>0</v>
      </c>
      <c r="W25" s="4">
        <v>32012913381</v>
      </c>
      <c r="X25" s="3">
        <v>0</v>
      </c>
      <c r="Y25" s="3">
        <v>0</v>
      </c>
      <c r="Z25" s="3">
        <v>0</v>
      </c>
      <c r="AA25" s="5">
        <v>0</v>
      </c>
    </row>
    <row r="26" spans="1:27" ht="40.5" x14ac:dyDescent="0.6">
      <c r="A26" s="24"/>
      <c r="B26" s="13" t="s">
        <v>51</v>
      </c>
      <c r="C26" s="4">
        <v>-156687650214</v>
      </c>
      <c r="D26" s="3">
        <v>0</v>
      </c>
      <c r="E26" s="3">
        <v>0</v>
      </c>
      <c r="F26" s="3">
        <v>0</v>
      </c>
      <c r="G26" s="3">
        <v>0</v>
      </c>
      <c r="H26" s="4">
        <v>-359156840416</v>
      </c>
      <c r="I26" s="3">
        <v>0</v>
      </c>
      <c r="J26" s="3">
        <v>0</v>
      </c>
      <c r="K26" s="3">
        <v>0</v>
      </c>
      <c r="L26" s="3">
        <v>0</v>
      </c>
      <c r="M26" s="4">
        <v>-58043465820</v>
      </c>
      <c r="N26" s="3">
        <v>0</v>
      </c>
      <c r="O26" s="3">
        <v>0</v>
      </c>
      <c r="P26" s="3">
        <v>0</v>
      </c>
      <c r="Q26" s="3">
        <v>0</v>
      </c>
      <c r="R26" s="4">
        <v>-20437040498</v>
      </c>
      <c r="S26" s="3">
        <v>0</v>
      </c>
      <c r="T26" s="3">
        <v>0</v>
      </c>
      <c r="U26" s="3">
        <v>0</v>
      </c>
      <c r="V26" s="3">
        <v>0</v>
      </c>
      <c r="W26" s="4">
        <v>-509369122</v>
      </c>
      <c r="X26" s="3">
        <v>0</v>
      </c>
      <c r="Y26" s="3">
        <v>0</v>
      </c>
      <c r="Z26" s="3">
        <v>0</v>
      </c>
      <c r="AA26" s="5">
        <v>0</v>
      </c>
    </row>
    <row r="27" spans="1:27" ht="54" customHeight="1" x14ac:dyDescent="0.6">
      <c r="A27" s="30"/>
      <c r="B27" s="13" t="s">
        <v>52</v>
      </c>
      <c r="C27" s="4">
        <v>-771675033762</v>
      </c>
      <c r="D27" s="3">
        <v>0</v>
      </c>
      <c r="E27" s="3">
        <v>0</v>
      </c>
      <c r="F27" s="3">
        <v>0</v>
      </c>
      <c r="G27" s="3">
        <v>0</v>
      </c>
      <c r="H27" s="4">
        <v>-457269360203</v>
      </c>
      <c r="I27" s="3">
        <v>0</v>
      </c>
      <c r="J27" s="3">
        <v>0</v>
      </c>
      <c r="K27" s="3">
        <v>0</v>
      </c>
      <c r="L27" s="3">
        <v>0</v>
      </c>
      <c r="M27" s="4">
        <v>-1512990358044</v>
      </c>
      <c r="N27" s="3">
        <v>0</v>
      </c>
      <c r="O27" s="3">
        <v>0</v>
      </c>
      <c r="P27" s="3">
        <v>0</v>
      </c>
      <c r="Q27" s="3">
        <v>0</v>
      </c>
      <c r="R27" s="4">
        <v>-1550331158233</v>
      </c>
      <c r="S27" s="3">
        <v>0</v>
      </c>
      <c r="T27" s="3">
        <v>0</v>
      </c>
      <c r="U27" s="3">
        <v>0</v>
      </c>
      <c r="V27" s="3">
        <v>0</v>
      </c>
      <c r="W27" s="4">
        <v>-4684256508</v>
      </c>
      <c r="X27" s="3">
        <v>0</v>
      </c>
      <c r="Y27" s="3">
        <v>0</v>
      </c>
      <c r="Z27" s="3">
        <v>0</v>
      </c>
      <c r="AA27" s="5">
        <v>0</v>
      </c>
    </row>
    <row r="28" spans="1:27" ht="54" customHeight="1" x14ac:dyDescent="0.6">
      <c r="A28" s="21" t="s">
        <v>53</v>
      </c>
      <c r="B28" s="2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5"/>
    </row>
    <row r="29" spans="1:27" ht="40.5" x14ac:dyDescent="0.6">
      <c r="A29" s="23" t="s">
        <v>53</v>
      </c>
      <c r="B29" s="13" t="s">
        <v>54</v>
      </c>
      <c r="C29" s="4">
        <v>386975557086</v>
      </c>
      <c r="D29" s="4">
        <v>4336919031</v>
      </c>
      <c r="E29" s="4">
        <v>4110729120</v>
      </c>
      <c r="F29" s="4">
        <v>7578252413</v>
      </c>
      <c r="G29" s="4">
        <v>7633264369</v>
      </c>
      <c r="H29" s="4">
        <v>67155753317</v>
      </c>
      <c r="I29" s="4">
        <v>5157904129</v>
      </c>
      <c r="J29" s="4">
        <v>3690638020</v>
      </c>
      <c r="K29" s="4">
        <v>7925890765</v>
      </c>
      <c r="L29" s="4">
        <v>23711286192</v>
      </c>
      <c r="M29" s="4">
        <v>674932000730</v>
      </c>
      <c r="N29" s="4">
        <v>515841806</v>
      </c>
      <c r="O29" s="4">
        <v>43072892</v>
      </c>
      <c r="P29" s="4">
        <v>5365155561</v>
      </c>
      <c r="Q29" s="4">
        <v>117212</v>
      </c>
      <c r="R29" s="4">
        <v>1070349117605</v>
      </c>
      <c r="S29" s="4">
        <v>81341445</v>
      </c>
      <c r="T29" s="3">
        <v>0</v>
      </c>
      <c r="U29" s="4">
        <v>582575501</v>
      </c>
      <c r="V29" s="3">
        <v>0</v>
      </c>
      <c r="W29" s="4">
        <v>2627052855</v>
      </c>
      <c r="X29" s="4">
        <v>-10462150</v>
      </c>
      <c r="Y29" s="3">
        <v>0</v>
      </c>
      <c r="Z29" s="4">
        <v>16941288</v>
      </c>
      <c r="AA29" s="5">
        <v>0</v>
      </c>
    </row>
    <row r="30" spans="1:27" ht="54" x14ac:dyDescent="0.6">
      <c r="A30" s="30"/>
      <c r="B30" s="13" t="s">
        <v>55</v>
      </c>
      <c r="C30" s="4">
        <v>-250181481026</v>
      </c>
      <c r="D30" s="4">
        <v>2168184042</v>
      </c>
      <c r="E30" s="3">
        <v>0</v>
      </c>
      <c r="F30" s="3">
        <v>0</v>
      </c>
      <c r="G30" s="3">
        <v>0</v>
      </c>
      <c r="H30" s="4">
        <v>-105182405666</v>
      </c>
      <c r="I30" s="4">
        <v>-539800600</v>
      </c>
      <c r="J30" s="3">
        <v>0</v>
      </c>
      <c r="K30" s="3">
        <v>0</v>
      </c>
      <c r="L30" s="3">
        <v>0</v>
      </c>
      <c r="M30" s="4">
        <v>-119685610119</v>
      </c>
      <c r="N30" s="4">
        <v>1710597740</v>
      </c>
      <c r="O30" s="3">
        <v>0</v>
      </c>
      <c r="P30" s="3">
        <v>0</v>
      </c>
      <c r="Q30" s="3">
        <v>0</v>
      </c>
      <c r="R30" s="4">
        <v>-11852009003</v>
      </c>
      <c r="S30" s="4">
        <v>314711235</v>
      </c>
      <c r="T30" s="3">
        <v>0</v>
      </c>
      <c r="U30" s="3">
        <v>0</v>
      </c>
      <c r="V30" s="3">
        <v>0</v>
      </c>
      <c r="W30" s="4">
        <v>-235095573</v>
      </c>
      <c r="X30" s="4">
        <v>10462272</v>
      </c>
      <c r="Y30" s="3">
        <v>0</v>
      </c>
      <c r="Z30" s="3">
        <v>0</v>
      </c>
      <c r="AA30" s="5">
        <v>0</v>
      </c>
    </row>
    <row r="31" spans="1:27" x14ac:dyDescent="0.6">
      <c r="A31" s="21" t="s">
        <v>56</v>
      </c>
      <c r="B31" s="22"/>
      <c r="C31" s="4">
        <v>-18844032679</v>
      </c>
      <c r="D31" s="3">
        <v>0</v>
      </c>
      <c r="E31" s="3">
        <v>0</v>
      </c>
      <c r="F31" s="3">
        <v>0</v>
      </c>
      <c r="G31" s="3">
        <v>0</v>
      </c>
      <c r="H31" s="4">
        <v>-1339137225</v>
      </c>
      <c r="I31" s="3">
        <v>0</v>
      </c>
      <c r="J31" s="3">
        <v>0</v>
      </c>
      <c r="K31" s="3">
        <v>0</v>
      </c>
      <c r="L31" s="3">
        <v>0</v>
      </c>
      <c r="M31" s="4">
        <v>1902302002</v>
      </c>
      <c r="N31" s="3">
        <v>0</v>
      </c>
      <c r="O31" s="3">
        <v>0</v>
      </c>
      <c r="P31" s="3">
        <v>0</v>
      </c>
      <c r="Q31" s="3">
        <v>0</v>
      </c>
      <c r="R31" s="4">
        <v>1642893260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5">
        <v>0</v>
      </c>
    </row>
    <row r="32" spans="1:27" x14ac:dyDescent="0.6">
      <c r="A32" s="21" t="s">
        <v>28</v>
      </c>
      <c r="B32" s="2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5"/>
    </row>
    <row r="33" spans="1:27" x14ac:dyDescent="0.6">
      <c r="A33" s="35" t="s">
        <v>29</v>
      </c>
      <c r="B33" s="25"/>
      <c r="C33" s="7">
        <v>6034920352084</v>
      </c>
      <c r="D33" s="7">
        <v>154307100816</v>
      </c>
      <c r="E33" s="7">
        <v>186193155118</v>
      </c>
      <c r="F33" s="7">
        <v>217081603023</v>
      </c>
      <c r="G33" s="7">
        <v>180082133328</v>
      </c>
      <c r="H33" s="7">
        <v>2353007969413</v>
      </c>
      <c r="I33" s="7">
        <v>170190238917</v>
      </c>
      <c r="J33" s="7">
        <v>117923775898</v>
      </c>
      <c r="K33" s="7">
        <v>205065445862</v>
      </c>
      <c r="L33" s="7">
        <v>619969014007</v>
      </c>
      <c r="M33" s="7">
        <v>9367000083161</v>
      </c>
      <c r="N33" s="7">
        <v>36368686490</v>
      </c>
      <c r="O33" s="7">
        <v>17458112157</v>
      </c>
      <c r="P33" s="7">
        <v>198395693328</v>
      </c>
      <c r="Q33" s="7">
        <v>22020252884</v>
      </c>
      <c r="R33" s="7">
        <v>6733879382817</v>
      </c>
      <c r="S33" s="7">
        <v>45124333949</v>
      </c>
      <c r="T33" s="7">
        <v>33515205785</v>
      </c>
      <c r="U33" s="7">
        <v>227265474265</v>
      </c>
      <c r="V33" s="7">
        <v>30259611363</v>
      </c>
      <c r="W33" s="7">
        <v>43420846957</v>
      </c>
      <c r="X33" s="7">
        <v>56140872</v>
      </c>
      <c r="Y33" s="8">
        <v>0</v>
      </c>
      <c r="Z33" s="7">
        <v>26023606</v>
      </c>
      <c r="AA33" s="9">
        <v>3167619423</v>
      </c>
    </row>
    <row r="34" spans="1:27" x14ac:dyDescent="0.6">
      <c r="A34" s="10"/>
    </row>
    <row r="43" spans="1:27" ht="27" customHeight="1" x14ac:dyDescent="0.6"/>
    <row r="47" spans="1:27" ht="67.5" customHeight="1" x14ac:dyDescent="0.6"/>
    <row r="48" spans="1:27" ht="27" customHeight="1" x14ac:dyDescent="0.6"/>
    <row r="53" ht="27" customHeight="1" x14ac:dyDescent="0.6"/>
    <row r="54" ht="40.5" customHeight="1" x14ac:dyDescent="0.6"/>
    <row r="55" ht="40.5" customHeight="1" x14ac:dyDescent="0.6"/>
    <row r="56" ht="54" customHeight="1" x14ac:dyDescent="0.6"/>
    <row r="58" ht="27" customHeight="1" x14ac:dyDescent="0.6"/>
    <row r="61" ht="67.5" customHeight="1" x14ac:dyDescent="0.6"/>
    <row r="62" ht="54" customHeight="1" x14ac:dyDescent="0.6"/>
    <row r="63" ht="27" customHeight="1" x14ac:dyDescent="0.6"/>
    <row r="78" ht="27" customHeight="1" x14ac:dyDescent="0.6"/>
    <row r="83" ht="27" customHeight="1" x14ac:dyDescent="0.6"/>
    <row r="88" ht="27" customHeight="1" x14ac:dyDescent="0.6"/>
    <row r="109" ht="67.5" customHeight="1" x14ac:dyDescent="0.6"/>
    <row r="124" ht="27" customHeight="1" x14ac:dyDescent="0.6"/>
    <row r="129" ht="27" customHeight="1" x14ac:dyDescent="0.6"/>
    <row r="162" ht="27" customHeight="1" x14ac:dyDescent="0.6"/>
    <row r="167" ht="27" customHeight="1" x14ac:dyDescent="0.6"/>
  </sheetData>
  <mergeCells count="41">
    <mergeCell ref="A29:A30"/>
    <mergeCell ref="A31:B31"/>
    <mergeCell ref="A32:B32"/>
    <mergeCell ref="A33:B33"/>
    <mergeCell ref="A20:A22"/>
    <mergeCell ref="A23:B23"/>
    <mergeCell ref="A24:B24"/>
    <mergeCell ref="A25:A27"/>
    <mergeCell ref="A28:B28"/>
    <mergeCell ref="A13:B13"/>
    <mergeCell ref="A14:B14"/>
    <mergeCell ref="A15:B15"/>
    <mergeCell ref="A16:A18"/>
    <mergeCell ref="A19:B19"/>
    <mergeCell ref="C10:AA10"/>
    <mergeCell ref="C11:C12"/>
    <mergeCell ref="D11:D12"/>
    <mergeCell ref="E11:G11"/>
    <mergeCell ref="H11:H12"/>
    <mergeCell ref="I11:I12"/>
    <mergeCell ref="J11:L11"/>
    <mergeCell ref="M11:M12"/>
    <mergeCell ref="N11:N12"/>
    <mergeCell ref="O11:Q11"/>
    <mergeCell ref="R11:R12"/>
    <mergeCell ref="S11:S12"/>
    <mergeCell ref="T11:V11"/>
    <mergeCell ref="W11:W12"/>
    <mergeCell ref="X11:X12"/>
    <mergeCell ref="Y11:AA11"/>
    <mergeCell ref="C9:G9"/>
    <mergeCell ref="H9:L9"/>
    <mergeCell ref="M9:Q9"/>
    <mergeCell ref="R9:V9"/>
    <mergeCell ref="W9:AA9"/>
    <mergeCell ref="C4:AA4"/>
    <mergeCell ref="C5:AA5"/>
    <mergeCell ref="C6:AA6"/>
    <mergeCell ref="C7:AA7"/>
    <mergeCell ref="C8:AA8"/>
    <mergeCell ref="A2:B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2026-06-03T01:03:44Z</dcterms:modified>
</cp:coreProperties>
</file>