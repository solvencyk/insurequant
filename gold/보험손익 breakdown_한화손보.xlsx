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gold\"/>
    </mc:Choice>
  </mc:AlternateContent>
  <xr:revisionPtr revIDLastSave="0" documentId="13_ncr:1_{C6E443AB-044C-467B-A356-C760B95EC60D}" xr6:coauthVersionLast="47" xr6:coauthVersionMax="47" xr10:uidLastSave="{00000000-0000-0000-0000-000000000000}"/>
  <bookViews>
    <workbookView xWindow="-98" yWindow="-98" windowWidth="21795" windowHeight="12975" xr2:uid="{B186C083-72FA-4707-BBE5-A56EC0A2D05F}"/>
  </bookViews>
  <sheets>
    <sheet name="Sheet1" sheetId="4" r:id="rId1"/>
    <sheet name="보험손익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4" l="1"/>
  <c r="H15" i="4"/>
  <c r="H14" i="4"/>
  <c r="H12" i="4"/>
  <c r="H11" i="4"/>
  <c r="H10" i="4"/>
  <c r="H9" i="4"/>
  <c r="H4" i="4"/>
  <c r="H7" i="4"/>
  <c r="H6" i="4"/>
  <c r="H5" i="4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H3" i="4" l="1"/>
  <c r="H13" i="4"/>
  <c r="H8" i="4"/>
  <c r="E3" i="4"/>
  <c r="E4" i="4" s="1"/>
  <c r="E5" i="4" s="1"/>
  <c r="E6" i="4" s="1"/>
  <c r="E7" i="4" s="1"/>
  <c r="H2" i="4" l="1"/>
</calcChain>
</file>

<file path=xl/sharedStrings.xml><?xml version="1.0" encoding="utf-8"?>
<sst xmlns="http://schemas.openxmlformats.org/spreadsheetml/2006/main" count="318" uniqueCount="100">
  <si>
    <t>장기보험</t>
  </si>
  <si>
    <t>자동차보험</t>
  </si>
  <si>
    <t>일반보험</t>
  </si>
  <si>
    <t>공시분기</t>
  </si>
  <si>
    <t>2025.4Q</t>
    <phoneticPr fontId="2" type="noConversion"/>
  </si>
  <si>
    <t>영업이익</t>
  </si>
  <si>
    <t>당기순이익</t>
  </si>
  <si>
    <t>손해보험</t>
  </si>
  <si>
    <t>법인세</t>
  </si>
  <si>
    <t>세전이익</t>
  </si>
  <si>
    <t>영업외손익</t>
  </si>
  <si>
    <t>기타사업비용</t>
    <phoneticPr fontId="2" type="noConversion"/>
  </si>
  <si>
    <t>기타영업수익</t>
    <phoneticPr fontId="2" type="noConversion"/>
  </si>
  <si>
    <t>보험금융손익</t>
  </si>
  <si>
    <t>투자이익</t>
  </si>
  <si>
    <t>투자손익</t>
    <phoneticPr fontId="2" type="noConversion"/>
  </si>
  <si>
    <t>일반손익</t>
  </si>
  <si>
    <t>자동차손익</t>
  </si>
  <si>
    <t>보험손익</t>
    <phoneticPr fontId="2" type="noConversion"/>
  </si>
  <si>
    <t>값</t>
  </si>
  <si>
    <t>항목명</t>
  </si>
  <si>
    <t>항목번호</t>
  </si>
  <si>
    <t>생손보여부</t>
  </si>
  <si>
    <t>티커</t>
  </si>
  <si>
    <t>원수사명</t>
  </si>
  <si>
    <t>원보험사코드</t>
  </si>
  <si>
    <t>검증</t>
    <phoneticPr fontId="2" type="noConversion"/>
  </si>
  <si>
    <t>생명장기 손익</t>
    <phoneticPr fontId="2" type="noConversion"/>
  </si>
  <si>
    <t>생명장기 원수손익</t>
    <phoneticPr fontId="2" type="noConversion"/>
  </si>
  <si>
    <t>생명장기 재보험손익</t>
    <phoneticPr fontId="2" type="noConversion"/>
  </si>
  <si>
    <t>손해보험</t>
    <phoneticPr fontId="2" type="noConversion"/>
  </si>
  <si>
    <t>원수 CSM상각</t>
    <phoneticPr fontId="2" type="noConversion"/>
  </si>
  <si>
    <t>원수 위험조정 변동</t>
    <phoneticPr fontId="2" type="noConversion"/>
  </si>
  <si>
    <t>원수 예실차</t>
    <phoneticPr fontId="2" type="noConversion"/>
  </si>
  <si>
    <t>기타 생명장기 원수손익</t>
    <phoneticPr fontId="2" type="noConversion"/>
  </si>
  <si>
    <t>재보험 CSM상각</t>
    <phoneticPr fontId="2" type="noConversion"/>
  </si>
  <si>
    <t>재보험 위험조정 변동</t>
    <phoneticPr fontId="2" type="noConversion"/>
  </si>
  <si>
    <t>재보험 예실차</t>
    <phoneticPr fontId="2" type="noConversion"/>
  </si>
  <si>
    <t>기타 생명장기 재보험손익</t>
    <phoneticPr fontId="2" type="noConversion"/>
  </si>
  <si>
    <t>22. 보험손익</t>
  </si>
  <si>
    <t>발행보험의 보험수익 분석 공시</t>
  </si>
  <si>
    <t>당반기</t>
  </si>
  <si>
    <t>(단위 : 천원)</t>
  </si>
  <si>
    <t>보험계약의 세분</t>
  </si>
  <si>
    <t>발행한 보험계약</t>
  </si>
  <si>
    <t>보험계약</t>
  </si>
  <si>
    <t>보험계약  합계</t>
  </si>
  <si>
    <t>보험료배분접근법을 적용한 보험계약 외의 보험계약</t>
  </si>
  <si>
    <t>보험료배분접근법을 적용한 보험계약</t>
  </si>
  <si>
    <t>계약의 유형</t>
  </si>
  <si>
    <t>3개월</t>
  </si>
  <si>
    <t>누적</t>
  </si>
  <si>
    <t>보험수익, 예상 보험금 (기초 예상 측정치)</t>
  </si>
  <si>
    <t>보험수익, 예상 손해조사비 (기초 예상 측정치)</t>
  </si>
  <si>
    <t>보험수익, 예상 유지비 (기초 예상 측정치)</t>
  </si>
  <si>
    <t>보험수익, 예상 투자관리비 (기초 예상 측정치)</t>
  </si>
  <si>
    <t>보험수익, 보험취득 현금흐름의 회수와 관련되는 보험료 부분의 배분액</t>
  </si>
  <si>
    <t>보험수익, 비금융위험에 대한 위험조정의 변동분</t>
  </si>
  <si>
    <t>보험수익, 서비스의 이전으로 당기손익에 인식한 보험계약마진</t>
  </si>
  <si>
    <t>보험수익, 손실요소배분</t>
  </si>
  <si>
    <t>보험수익, 보험료배분접근법적용계약에서 발생한 수익</t>
  </si>
  <si>
    <t>보험수익, 그 밖의 금액</t>
  </si>
  <si>
    <t>보험수익</t>
  </si>
  <si>
    <t>발행보험의 보험서비스비용 분석 공시</t>
  </si>
  <si>
    <t>보험서비스비용, 발생한 보험금</t>
  </si>
  <si>
    <t>보험서비스비용, 발생한 손해조사비</t>
  </si>
  <si>
    <t>보험서비스비용, 과거 서비스와 관련된 금액</t>
  </si>
  <si>
    <t>보험서비스비용, 발생한 유지비</t>
  </si>
  <si>
    <t>보험서비스비용, 발생한 투자관리비</t>
  </si>
  <si>
    <t>보험서비스비용, 보험취득 현금흐름의 상각에 따른 금액</t>
  </si>
  <si>
    <t>보험서비스비용, 보험취득 현금흐름에서 발생한 비용</t>
  </si>
  <si>
    <t>보험서비스비용, 당기 및 과거서비스 보험료 경험조정</t>
  </si>
  <si>
    <t>보험서비스비용, 손실요소배분</t>
  </si>
  <si>
    <t>보험서비스비용, 미래 서비스와 관련된 변동분에 관련된 금액</t>
  </si>
  <si>
    <t>보험서비스비용, 그 밖의 발생한 보험서비스비용</t>
  </si>
  <si>
    <t>발행한 보험계약에서 생기는 보험서비스비용</t>
  </si>
  <si>
    <t>23. 출재보험손익</t>
  </si>
  <si>
    <t>재보험비용의 보험서비스비용 분석 공시</t>
  </si>
  <si>
    <t>보유 재보험계약</t>
  </si>
  <si>
    <t>계약의 유형  합계</t>
  </si>
  <si>
    <t>재보험수익, 발생한 보험금</t>
  </si>
  <si>
    <t>재보험수익, 발생한 손해조사비</t>
  </si>
  <si>
    <t>재보험수익, 과거 서비스와 관련된 금액</t>
  </si>
  <si>
    <t>재보험수익, 손실회수요소배분</t>
  </si>
  <si>
    <t>재보험수익, 미래 서비스와 관련된 변동분에 관련된 금액</t>
  </si>
  <si>
    <t>재보험수익, 그 밖의 발생한 재보험수익</t>
  </si>
  <si>
    <t>재보험비용 분석 공시</t>
  </si>
  <si>
    <t>재보험비용, 예상 보험금 (기초 예상 측정치)</t>
  </si>
  <si>
    <t>재보험비용, 예상 손해조사비 (기초 예상 측정치)</t>
  </si>
  <si>
    <t>재보험비용, 서비스의 이전으로 당기손익에 인식한 보험계약마진</t>
  </si>
  <si>
    <t>재보험비용, 비금융위험에 대한 위험조정의 변동분</t>
  </si>
  <si>
    <t>재보험비용, 손실회수요소배분</t>
  </si>
  <si>
    <t>재보험비용, 당기 및 과거서비스 재보험료 경험조정</t>
  </si>
  <si>
    <t>재보험자에게 지급된 보험료 배분액에서 생기는 비용</t>
  </si>
  <si>
    <t>재보험비용, 그 밖의 금액</t>
  </si>
  <si>
    <t>재보험비용 분석 공시 합계</t>
  </si>
  <si>
    <t>재보험자에게서 회수한 금액에서 생기는 수익</t>
  </si>
  <si>
    <t>총 재보험비용, 잔여보장부채의 변동분과 관련되는 금액</t>
  </si>
  <si>
    <t>한화손보</t>
    <phoneticPr fontId="2" type="noConversion"/>
  </si>
  <si>
    <t>KR0002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</si>
</sst>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00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4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0" fillId="0" borderId="0" xfId="0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righ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0264-0ADE-4580-BFCD-469F1D8FFBA3}">
  <dimension ref="A1:K25"/>
  <sheetViews>
    <sheetView tabSelected="1" workbookViewId="0"/>
  </sheetViews>
  <sheetFormatPr defaultRowHeight="16.899999999999999" x14ac:dyDescent="0.6"/>
  <cols>
    <col min="5" max="5" width="9.25" bestFit="1" customWidth="1"/>
    <col min="6" max="6" width="20.9375" bestFit="1" customWidth="1"/>
    <col min="8" max="8" width="16.625" bestFit="1" customWidth="1"/>
  </cols>
  <sheetData>
    <row r="1" spans="1:11" x14ac:dyDescent="0.6">
      <c r="A1" s="10" t="s">
        <v>25</v>
      </c>
      <c r="B1" s="10" t="s">
        <v>24</v>
      </c>
      <c r="C1" s="10" t="s">
        <v>23</v>
      </c>
      <c r="D1" s="10" t="s">
        <v>22</v>
      </c>
      <c r="E1" s="10" t="s">
        <v>21</v>
      </c>
      <c r="F1" s="10" t="s">
        <v>20</v>
      </c>
      <c r="G1" s="10" t="s">
        <v>3</v>
      </c>
      <c r="H1" s="10" t="s">
        <v>19</v>
      </c>
      <c r="I1" s="10" t="s">
        <v>26</v>
      </c>
    </row>
    <row r="2" spans="1:11" x14ac:dyDescent="0.6">
      <c r="A2" s="10" t="s">
        <v>99</v>
      </c>
      <c r="B2" s="10" t="s">
        <v>98</v>
      </c>
      <c r="C2" s="10"/>
      <c r="D2" s="10" t="s">
        <v>7</v>
      </c>
      <c r="E2" s="10">
        <v>1</v>
      </c>
      <c r="F2" t="s">
        <v>18</v>
      </c>
      <c r="G2" s="10" t="s">
        <v>4</v>
      </c>
      <c r="H2" s="2">
        <f>H3+H14+H15+H16-H17</f>
        <v>206818.06199999998</v>
      </c>
      <c r="I2" t="b">
        <f>ROUND(H2,0)=ROUND(206818.062,0)</f>
        <v>1</v>
      </c>
    </row>
    <row r="3" spans="1:11" x14ac:dyDescent="0.6">
      <c r="A3" s="10" t="s">
        <v>99</v>
      </c>
      <c r="B3" s="10" t="s">
        <v>98</v>
      </c>
      <c r="C3" s="10"/>
      <c r="D3" s="10" t="s">
        <v>7</v>
      </c>
      <c r="E3">
        <f t="shared" ref="E3" si="0">E2+1</f>
        <v>2</v>
      </c>
      <c r="F3" t="s">
        <v>27</v>
      </c>
      <c r="G3" t="s">
        <v>4</v>
      </c>
      <c r="H3" s="2">
        <f>H4+H9</f>
        <v>252199.57199999999</v>
      </c>
    </row>
    <row r="4" spans="1:11" x14ac:dyDescent="0.6">
      <c r="A4" s="10" t="s">
        <v>99</v>
      </c>
      <c r="B4" s="10" t="s">
        <v>98</v>
      </c>
      <c r="C4" s="10"/>
      <c r="D4" s="10" t="s">
        <v>7</v>
      </c>
      <c r="E4">
        <f t="shared" ref="E4:E7" si="1">E3+1</f>
        <v>3</v>
      </c>
      <c r="F4" t="s">
        <v>28</v>
      </c>
      <c r="G4" t="s">
        <v>4</v>
      </c>
      <c r="H4" s="2">
        <f>(보험손익!C24-보험손익!C46)/1000</f>
        <v>250696.897</v>
      </c>
    </row>
    <row r="5" spans="1:11" x14ac:dyDescent="0.6">
      <c r="A5" s="10" t="s">
        <v>99</v>
      </c>
      <c r="B5" s="10" t="s">
        <v>98</v>
      </c>
      <c r="C5" s="10"/>
      <c r="D5" s="10" t="s">
        <v>7</v>
      </c>
      <c r="E5">
        <f t="shared" si="1"/>
        <v>4</v>
      </c>
      <c r="F5" t="s">
        <v>31</v>
      </c>
      <c r="G5" t="s">
        <v>4</v>
      </c>
      <c r="H5" s="2">
        <f>보험손익!C20/1000</f>
        <v>210229.261</v>
      </c>
    </row>
    <row r="6" spans="1:11" x14ac:dyDescent="0.6">
      <c r="A6" s="10" t="s">
        <v>99</v>
      </c>
      <c r="B6" s="10" t="s">
        <v>98</v>
      </c>
      <c r="C6" s="10"/>
      <c r="D6" s="10" t="s">
        <v>7</v>
      </c>
      <c r="E6">
        <f t="shared" si="1"/>
        <v>5</v>
      </c>
      <c r="F6" t="s">
        <v>32</v>
      </c>
      <c r="G6" t="s">
        <v>4</v>
      </c>
      <c r="H6" s="2">
        <f>보험손익!C19/1000</f>
        <v>38443.860999999997</v>
      </c>
    </row>
    <row r="7" spans="1:11" x14ac:dyDescent="0.6">
      <c r="A7" s="10" t="s">
        <v>99</v>
      </c>
      <c r="B7" s="10" t="s">
        <v>98</v>
      </c>
      <c r="C7" s="10"/>
      <c r="D7" s="10" t="s">
        <v>7</v>
      </c>
      <c r="E7">
        <f t="shared" si="1"/>
        <v>6</v>
      </c>
      <c r="F7" t="s">
        <v>33</v>
      </c>
      <c r="G7" t="s">
        <v>4</v>
      </c>
      <c r="H7" s="2">
        <f>(보험손익!C14+보험손익!C15+보험손익!C16+보험손익!C17-보험손익!C35-보험손익!C36-보험손익!C38-보험손익!C39)/1000</f>
        <v>-45928.987000000001</v>
      </c>
    </row>
    <row r="8" spans="1:11" x14ac:dyDescent="0.6">
      <c r="A8" s="10" t="s">
        <v>99</v>
      </c>
      <c r="B8" s="10" t="s">
        <v>98</v>
      </c>
      <c r="C8" s="10"/>
      <c r="D8" s="10" t="s">
        <v>30</v>
      </c>
      <c r="E8">
        <f t="shared" ref="E8:E25" si="2">E7+1</f>
        <v>7</v>
      </c>
      <c r="F8" t="s">
        <v>34</v>
      </c>
      <c r="G8" t="s">
        <v>4</v>
      </c>
      <c r="H8" s="2">
        <f>H4-SUM(H5:H7)</f>
        <v>47952.761999999988</v>
      </c>
      <c r="K8" s="2"/>
    </row>
    <row r="9" spans="1:11" x14ac:dyDescent="0.6">
      <c r="A9" s="10" t="s">
        <v>99</v>
      </c>
      <c r="B9" s="10" t="s">
        <v>98</v>
      </c>
      <c r="C9" s="10"/>
      <c r="D9" s="10" t="s">
        <v>30</v>
      </c>
      <c r="E9">
        <f t="shared" si="2"/>
        <v>8</v>
      </c>
      <c r="F9" t="s">
        <v>29</v>
      </c>
      <c r="G9" t="s">
        <v>4</v>
      </c>
      <c r="H9" s="2">
        <f>(SUM(보험손익!C60:C65,보험손익!K60:K65)-SUM(보험손익!C76:C83,보험손익!K76:K83))/1000</f>
        <v>1502.675</v>
      </c>
      <c r="K9" s="2"/>
    </row>
    <row r="10" spans="1:11" x14ac:dyDescent="0.6">
      <c r="A10" s="10" t="s">
        <v>99</v>
      </c>
      <c r="B10" s="10" t="s">
        <v>98</v>
      </c>
      <c r="C10" s="10"/>
      <c r="D10" s="10" t="s">
        <v>30</v>
      </c>
      <c r="E10">
        <f t="shared" si="2"/>
        <v>9</v>
      </c>
      <c r="F10" t="s">
        <v>35</v>
      </c>
      <c r="G10" t="s">
        <v>4</v>
      </c>
      <c r="H10" s="2">
        <f>-보험손익!C78/1000</f>
        <v>-4846.076</v>
      </c>
      <c r="K10" s="2"/>
    </row>
    <row r="11" spans="1:11" x14ac:dyDescent="0.6">
      <c r="A11" s="10" t="s">
        <v>99</v>
      </c>
      <c r="B11" s="10" t="s">
        <v>98</v>
      </c>
      <c r="C11" s="10"/>
      <c r="D11" s="10" t="s">
        <v>30</v>
      </c>
      <c r="E11">
        <f t="shared" si="2"/>
        <v>10</v>
      </c>
      <c r="F11" t="s">
        <v>36</v>
      </c>
      <c r="G11" t="s">
        <v>4</v>
      </c>
      <c r="H11" s="2">
        <f>-보험손익!C79/1000</f>
        <v>-681.197</v>
      </c>
      <c r="K11" s="2"/>
    </row>
    <row r="12" spans="1:11" x14ac:dyDescent="0.6">
      <c r="A12" s="10" t="s">
        <v>99</v>
      </c>
      <c r="B12" s="10" t="s">
        <v>98</v>
      </c>
      <c r="C12" s="10"/>
      <c r="D12" s="10" t="s">
        <v>30</v>
      </c>
      <c r="E12">
        <f t="shared" si="2"/>
        <v>11</v>
      </c>
      <c r="F12" t="s">
        <v>37</v>
      </c>
      <c r="G12" t="s">
        <v>4</v>
      </c>
      <c r="H12" s="2">
        <f>(SUM(보험손익!C60:C61,보험손익!K60:K61)-SUM(보험손익!C76:C77,보험손익!K76:K77))/1000</f>
        <v>3590.7910000000002</v>
      </c>
      <c r="K12" s="2"/>
    </row>
    <row r="13" spans="1:11" x14ac:dyDescent="0.6">
      <c r="A13" s="10" t="s">
        <v>99</v>
      </c>
      <c r="B13" s="10" t="s">
        <v>98</v>
      </c>
      <c r="C13" s="10"/>
      <c r="D13" s="10" t="s">
        <v>30</v>
      </c>
      <c r="E13">
        <f t="shared" si="2"/>
        <v>12</v>
      </c>
      <c r="F13" t="s">
        <v>38</v>
      </c>
      <c r="G13" t="s">
        <v>4</v>
      </c>
      <c r="H13" s="2">
        <f>H9-SUM(H10:H12)</f>
        <v>3439.1570000000002</v>
      </c>
      <c r="K13" s="2"/>
    </row>
    <row r="14" spans="1:11" x14ac:dyDescent="0.6">
      <c r="A14" s="10" t="s">
        <v>99</v>
      </c>
      <c r="B14" s="10" t="s">
        <v>98</v>
      </c>
      <c r="C14" s="10"/>
      <c r="D14" s="10" t="s">
        <v>30</v>
      </c>
      <c r="E14">
        <f t="shared" si="2"/>
        <v>13</v>
      </c>
      <c r="F14" t="s">
        <v>17</v>
      </c>
      <c r="G14" t="s">
        <v>4</v>
      </c>
      <c r="H14" s="2">
        <f>(보험손익!M24-보험손익!M46-SUM(보험손익!O82:O83)+SUM(보험손익!O60:O65))/1000</f>
        <v>-5650.0339999999997</v>
      </c>
    </row>
    <row r="15" spans="1:11" x14ac:dyDescent="0.6">
      <c r="A15" s="10" t="s">
        <v>99</v>
      </c>
      <c r="B15" s="10" t="s">
        <v>98</v>
      </c>
      <c r="C15" s="10"/>
      <c r="D15" s="10" t="s">
        <v>7</v>
      </c>
      <c r="E15">
        <f t="shared" si="2"/>
        <v>14</v>
      </c>
      <c r="F15" t="s">
        <v>16</v>
      </c>
      <c r="G15" t="s">
        <v>4</v>
      </c>
      <c r="H15" s="2">
        <f>(보험손익!K24-보험손익!K46-SUM(보험손익!M82:M83)+SUM(보험손익!M60:M65))/1000</f>
        <v>18664.690999999999</v>
      </c>
    </row>
    <row r="16" spans="1:11" x14ac:dyDescent="0.6">
      <c r="A16" s="10" t="s">
        <v>99</v>
      </c>
      <c r="B16" s="10" t="s">
        <v>98</v>
      </c>
      <c r="C16" s="10"/>
      <c r="D16" s="10" t="s">
        <v>7</v>
      </c>
      <c r="E16">
        <f t="shared" si="2"/>
        <v>15</v>
      </c>
      <c r="F16" t="s">
        <v>12</v>
      </c>
      <c r="G16" t="s">
        <v>4</v>
      </c>
      <c r="H16" s="2"/>
    </row>
    <row r="17" spans="1:9" x14ac:dyDescent="0.6">
      <c r="A17" s="10" t="s">
        <v>99</v>
      </c>
      <c r="B17" s="10" t="s">
        <v>98</v>
      </c>
      <c r="C17" s="10"/>
      <c r="D17" s="10" t="s">
        <v>7</v>
      </c>
      <c r="E17">
        <f t="shared" si="2"/>
        <v>16</v>
      </c>
      <c r="F17" t="s">
        <v>11</v>
      </c>
      <c r="G17" t="s">
        <v>4</v>
      </c>
      <c r="H17" s="2">
        <v>58396.167000000001</v>
      </c>
    </row>
    <row r="18" spans="1:9" x14ac:dyDescent="0.6">
      <c r="A18" s="10" t="s">
        <v>99</v>
      </c>
      <c r="B18" s="10" t="s">
        <v>98</v>
      </c>
      <c r="C18" s="10"/>
      <c r="D18" s="10" t="s">
        <v>7</v>
      </c>
      <c r="E18">
        <f t="shared" si="2"/>
        <v>17</v>
      </c>
      <c r="F18" t="s">
        <v>15</v>
      </c>
      <c r="G18" t="s">
        <v>4</v>
      </c>
      <c r="H18" s="2"/>
    </row>
    <row r="19" spans="1:9" x14ac:dyDescent="0.6">
      <c r="A19" s="10" t="s">
        <v>99</v>
      </c>
      <c r="B19" s="10" t="s">
        <v>98</v>
      </c>
      <c r="C19" s="10"/>
      <c r="D19" s="10" t="s">
        <v>7</v>
      </c>
      <c r="E19">
        <f t="shared" si="2"/>
        <v>18</v>
      </c>
      <c r="F19" t="s">
        <v>14</v>
      </c>
      <c r="G19" t="s">
        <v>4</v>
      </c>
      <c r="H19" s="2"/>
    </row>
    <row r="20" spans="1:9" x14ac:dyDescent="0.6">
      <c r="A20" s="10" t="s">
        <v>99</v>
      </c>
      <c r="B20" s="10" t="s">
        <v>98</v>
      </c>
      <c r="C20" s="10"/>
      <c r="D20" s="10" t="s">
        <v>7</v>
      </c>
      <c r="E20">
        <f t="shared" si="2"/>
        <v>19</v>
      </c>
      <c r="F20" t="s">
        <v>13</v>
      </c>
      <c r="G20" t="s">
        <v>4</v>
      </c>
      <c r="H20" s="2"/>
    </row>
    <row r="21" spans="1:9" x14ac:dyDescent="0.6">
      <c r="A21" s="10" t="s">
        <v>99</v>
      </c>
      <c r="B21" s="10" t="s">
        <v>98</v>
      </c>
      <c r="C21" s="10"/>
      <c r="D21" s="10" t="s">
        <v>7</v>
      </c>
      <c r="E21">
        <f t="shared" si="2"/>
        <v>20</v>
      </c>
      <c r="F21" t="s">
        <v>5</v>
      </c>
      <c r="G21" t="s">
        <v>4</v>
      </c>
      <c r="H21" s="2"/>
    </row>
    <row r="22" spans="1:9" x14ac:dyDescent="0.6">
      <c r="A22" s="10" t="s">
        <v>99</v>
      </c>
      <c r="B22" s="10" t="s">
        <v>98</v>
      </c>
      <c r="C22" s="10"/>
      <c r="D22" s="10" t="s">
        <v>7</v>
      </c>
      <c r="E22">
        <f t="shared" si="2"/>
        <v>21</v>
      </c>
      <c r="F22" t="s">
        <v>10</v>
      </c>
      <c r="G22" t="s">
        <v>4</v>
      </c>
      <c r="H22" s="2"/>
    </row>
    <row r="23" spans="1:9" x14ac:dyDescent="0.6">
      <c r="A23" s="10" t="s">
        <v>99</v>
      </c>
      <c r="B23" s="10" t="s">
        <v>98</v>
      </c>
      <c r="C23" s="10"/>
      <c r="D23" s="10" t="s">
        <v>7</v>
      </c>
      <c r="E23">
        <f t="shared" si="2"/>
        <v>22</v>
      </c>
      <c r="F23" t="s">
        <v>9</v>
      </c>
      <c r="G23" t="s">
        <v>4</v>
      </c>
      <c r="H23" s="2"/>
    </row>
    <row r="24" spans="1:9" x14ac:dyDescent="0.6">
      <c r="A24" s="10" t="s">
        <v>99</v>
      </c>
      <c r="B24" s="10" t="s">
        <v>98</v>
      </c>
      <c r="C24" s="10"/>
      <c r="D24" s="10" t="s">
        <v>7</v>
      </c>
      <c r="E24">
        <f t="shared" si="2"/>
        <v>23</v>
      </c>
      <c r="F24" t="s">
        <v>8</v>
      </c>
      <c r="G24" t="s">
        <v>4</v>
      </c>
      <c r="H24" s="2"/>
    </row>
    <row r="25" spans="1:9" x14ac:dyDescent="0.6">
      <c r="A25" s="10" t="s">
        <v>99</v>
      </c>
      <c r="B25" s="10" t="s">
        <v>98</v>
      </c>
      <c r="C25" s="10"/>
      <c r="D25" s="10" t="s">
        <v>7</v>
      </c>
      <c r="E25">
        <f t="shared" si="2"/>
        <v>24</v>
      </c>
      <c r="F25" t="s">
        <v>6</v>
      </c>
      <c r="G25" t="s">
        <v>4</v>
      </c>
      <c r="H25" s="2"/>
      <c r="I25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DA82-6A21-44FC-86F1-F467AB2ECEED}">
  <dimension ref="A2:Q97"/>
  <sheetViews>
    <sheetView zoomScale="55" zoomScaleNormal="55" workbookViewId="0">
      <pane xSplit="1" ySplit="1" topLeftCell="B50" activePane="bottomRight" state="frozen"/>
      <selection pane="topRight" activeCell="D1" sqref="D1"/>
      <selection pane="bottomLeft" activeCell="A2" sqref="A2"/>
      <selection pane="bottomRight" activeCell="C14" sqref="C14"/>
    </sheetView>
  </sheetViews>
  <sheetFormatPr defaultRowHeight="16.899999999999999" x14ac:dyDescent="0.6"/>
  <cols>
    <col min="1" max="1" width="11.875" bestFit="1" customWidth="1"/>
    <col min="2" max="2" width="12.0625" bestFit="1" customWidth="1"/>
    <col min="3" max="3" width="13.8125" bestFit="1" customWidth="1"/>
    <col min="4" max="4" width="6.0625" bestFit="1" customWidth="1"/>
    <col min="5" max="5" width="1.5625" bestFit="1" customWidth="1"/>
    <col min="6" max="6" width="5.8125" bestFit="1" customWidth="1"/>
    <col min="7" max="7" width="5.1875" bestFit="1" customWidth="1"/>
    <col min="8" max="8" width="4.25" bestFit="1" customWidth="1"/>
    <col min="9" max="9" width="1.5625" bestFit="1" customWidth="1"/>
    <col min="10" max="13" width="12.0625" bestFit="1" customWidth="1"/>
    <col min="14" max="15" width="13.8125" bestFit="1" customWidth="1"/>
  </cols>
  <sheetData>
    <row r="2" spans="1:15" x14ac:dyDescent="0.6">
      <c r="A2" s="11" t="s">
        <v>39</v>
      </c>
    </row>
    <row r="3" spans="1:15" x14ac:dyDescent="0.6">
      <c r="A3" s="12"/>
    </row>
    <row r="4" spans="1:15" ht="54" x14ac:dyDescent="0.6">
      <c r="A4" s="13" t="s">
        <v>40</v>
      </c>
    </row>
    <row r="5" spans="1:15" ht="27" customHeight="1" x14ac:dyDescent="0.6">
      <c r="A5" s="15" t="s">
        <v>40</v>
      </c>
      <c r="B5" s="15"/>
    </row>
    <row r="6" spans="1:15" ht="27" x14ac:dyDescent="0.6">
      <c r="A6" s="12" t="s">
        <v>41</v>
      </c>
      <c r="B6" s="14" t="s">
        <v>42</v>
      </c>
    </row>
    <row r="7" spans="1:15" x14ac:dyDescent="0.6">
      <c r="A7" s="16"/>
      <c r="B7" s="21" t="s">
        <v>43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</row>
    <row r="8" spans="1:15" ht="16.899999999999999" customHeight="1" x14ac:dyDescent="0.6">
      <c r="A8" s="17"/>
      <c r="B8" s="24" t="s">
        <v>44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6"/>
    </row>
    <row r="9" spans="1:15" x14ac:dyDescent="0.6">
      <c r="A9" s="17"/>
      <c r="B9" s="24" t="s">
        <v>45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7"/>
      <c r="N9" s="28" t="s">
        <v>46</v>
      </c>
      <c r="O9" s="29"/>
    </row>
    <row r="10" spans="1:15" ht="27" customHeight="1" x14ac:dyDescent="0.6">
      <c r="A10" s="17"/>
      <c r="B10" s="24" t="s">
        <v>47</v>
      </c>
      <c r="C10" s="25"/>
      <c r="D10" s="25"/>
      <c r="E10" s="25"/>
      <c r="F10" s="25"/>
      <c r="G10" s="27"/>
      <c r="H10" s="24" t="s">
        <v>48</v>
      </c>
      <c r="I10" s="25"/>
      <c r="J10" s="25"/>
      <c r="K10" s="25"/>
      <c r="L10" s="25"/>
      <c r="M10" s="27"/>
      <c r="N10" s="30"/>
      <c r="O10" s="31"/>
    </row>
    <row r="11" spans="1:15" x14ac:dyDescent="0.6">
      <c r="A11" s="17"/>
      <c r="B11" s="24" t="s">
        <v>49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7"/>
      <c r="N11" s="30"/>
      <c r="O11" s="31"/>
    </row>
    <row r="12" spans="1:15" ht="27" customHeight="1" x14ac:dyDescent="0.6">
      <c r="A12" s="17"/>
      <c r="B12" s="24" t="s">
        <v>0</v>
      </c>
      <c r="C12" s="27"/>
      <c r="D12" s="24" t="s">
        <v>2</v>
      </c>
      <c r="E12" s="27"/>
      <c r="F12" s="24" t="s">
        <v>1</v>
      </c>
      <c r="G12" s="27"/>
      <c r="H12" s="24" t="s">
        <v>0</v>
      </c>
      <c r="I12" s="27"/>
      <c r="J12" s="24" t="s">
        <v>2</v>
      </c>
      <c r="K12" s="27"/>
      <c r="L12" s="24" t="s">
        <v>1</v>
      </c>
      <c r="M12" s="27"/>
      <c r="N12" s="32"/>
      <c r="O12" s="33"/>
    </row>
    <row r="13" spans="1:15" ht="40.5" x14ac:dyDescent="0.6">
      <c r="A13" s="17"/>
      <c r="B13" s="1" t="s">
        <v>50</v>
      </c>
      <c r="C13" s="1" t="s">
        <v>51</v>
      </c>
      <c r="D13" s="1" t="s">
        <v>50</v>
      </c>
      <c r="E13" s="1" t="s">
        <v>51</v>
      </c>
      <c r="F13" s="1" t="s">
        <v>50</v>
      </c>
      <c r="G13" s="1" t="s">
        <v>51</v>
      </c>
      <c r="H13" s="1" t="s">
        <v>50</v>
      </c>
      <c r="I13" s="1" t="s">
        <v>51</v>
      </c>
      <c r="J13" s="1" t="s">
        <v>50</v>
      </c>
      <c r="K13" s="1" t="s">
        <v>51</v>
      </c>
      <c r="L13" s="1" t="s">
        <v>50</v>
      </c>
      <c r="M13" s="1" t="s">
        <v>51</v>
      </c>
      <c r="N13" s="1" t="s">
        <v>50</v>
      </c>
      <c r="O13" s="18" t="s">
        <v>51</v>
      </c>
    </row>
    <row r="14" spans="1:15" ht="67.5" x14ac:dyDescent="0.6">
      <c r="A14" s="19" t="s">
        <v>52</v>
      </c>
      <c r="B14" s="3">
        <v>622220672</v>
      </c>
      <c r="C14" s="3">
        <v>1234844286</v>
      </c>
      <c r="D14" s="4"/>
      <c r="E14" s="4"/>
      <c r="F14" s="4"/>
      <c r="G14" s="4"/>
      <c r="H14" s="4"/>
      <c r="I14" s="4"/>
      <c r="J14" s="4">
        <v>0</v>
      </c>
      <c r="K14" s="4">
        <v>0</v>
      </c>
      <c r="L14" s="4">
        <v>0</v>
      </c>
      <c r="M14" s="4">
        <v>0</v>
      </c>
      <c r="N14" s="3">
        <v>622220672</v>
      </c>
      <c r="O14" s="5">
        <v>1234844286</v>
      </c>
    </row>
    <row r="15" spans="1:15" ht="67.5" x14ac:dyDescent="0.6">
      <c r="A15" s="19" t="s">
        <v>53</v>
      </c>
      <c r="B15" s="3">
        <v>24540842</v>
      </c>
      <c r="C15" s="3">
        <v>48944885</v>
      </c>
      <c r="D15" s="4"/>
      <c r="E15" s="4"/>
      <c r="F15" s="4"/>
      <c r="G15" s="4"/>
      <c r="H15" s="4"/>
      <c r="I15" s="4"/>
      <c r="J15" s="4">
        <v>0</v>
      </c>
      <c r="K15" s="4">
        <v>0</v>
      </c>
      <c r="L15" s="4">
        <v>0</v>
      </c>
      <c r="M15" s="4">
        <v>0</v>
      </c>
      <c r="N15" s="3">
        <v>24540842</v>
      </c>
      <c r="O15" s="5">
        <v>48944885</v>
      </c>
    </row>
    <row r="16" spans="1:15" ht="67.5" x14ac:dyDescent="0.6">
      <c r="A16" s="19" t="s">
        <v>54</v>
      </c>
      <c r="B16" s="3">
        <v>72133356</v>
      </c>
      <c r="C16" s="3">
        <v>142875633</v>
      </c>
      <c r="D16" s="4"/>
      <c r="E16" s="4"/>
      <c r="F16" s="4"/>
      <c r="G16" s="4"/>
      <c r="H16" s="4"/>
      <c r="I16" s="4"/>
      <c r="J16" s="4">
        <v>0</v>
      </c>
      <c r="K16" s="4">
        <v>0</v>
      </c>
      <c r="L16" s="4">
        <v>0</v>
      </c>
      <c r="M16" s="4">
        <v>0</v>
      </c>
      <c r="N16" s="3">
        <v>72133356</v>
      </c>
      <c r="O16" s="5">
        <v>142875633</v>
      </c>
    </row>
    <row r="17" spans="1:15" ht="67.5" x14ac:dyDescent="0.6">
      <c r="A17" s="19" t="s">
        <v>55</v>
      </c>
      <c r="B17" s="3">
        <v>2735807</v>
      </c>
      <c r="C17" s="3">
        <v>5437189</v>
      </c>
      <c r="D17" s="4"/>
      <c r="E17" s="4"/>
      <c r="F17" s="4"/>
      <c r="G17" s="4"/>
      <c r="H17" s="4"/>
      <c r="I17" s="4"/>
      <c r="J17" s="4">
        <v>0</v>
      </c>
      <c r="K17" s="4">
        <v>0</v>
      </c>
      <c r="L17" s="4">
        <v>0</v>
      </c>
      <c r="M17" s="4">
        <v>0</v>
      </c>
      <c r="N17" s="3">
        <v>2735807</v>
      </c>
      <c r="O17" s="5">
        <v>5437189</v>
      </c>
    </row>
    <row r="18" spans="1:15" ht="108" x14ac:dyDescent="0.6">
      <c r="A18" s="19" t="s">
        <v>56</v>
      </c>
      <c r="B18" s="3">
        <v>132490299</v>
      </c>
      <c r="C18" s="3">
        <v>265117257</v>
      </c>
      <c r="D18" s="4"/>
      <c r="E18" s="4"/>
      <c r="F18" s="4"/>
      <c r="G18" s="4"/>
      <c r="H18" s="4"/>
      <c r="I18" s="4"/>
      <c r="J18" s="4">
        <v>0</v>
      </c>
      <c r="K18" s="4">
        <v>0</v>
      </c>
      <c r="L18" s="4">
        <v>0</v>
      </c>
      <c r="M18" s="4">
        <v>0</v>
      </c>
      <c r="N18" s="3">
        <v>132490299</v>
      </c>
      <c r="O18" s="5">
        <v>265117257</v>
      </c>
    </row>
    <row r="19" spans="1:15" ht="67.5" x14ac:dyDescent="0.6">
      <c r="A19" s="19" t="s">
        <v>57</v>
      </c>
      <c r="B19" s="3">
        <v>19153058</v>
      </c>
      <c r="C19" s="3">
        <v>38443861</v>
      </c>
      <c r="D19" s="4"/>
      <c r="E19" s="4"/>
      <c r="F19" s="4"/>
      <c r="G19" s="4"/>
      <c r="H19" s="4"/>
      <c r="I19" s="4"/>
      <c r="J19" s="4">
        <v>0</v>
      </c>
      <c r="K19" s="4">
        <v>0</v>
      </c>
      <c r="L19" s="4">
        <v>0</v>
      </c>
      <c r="M19" s="4">
        <v>0</v>
      </c>
      <c r="N19" s="3">
        <v>19153058</v>
      </c>
      <c r="O19" s="5">
        <v>38443861</v>
      </c>
    </row>
    <row r="20" spans="1:15" ht="94.5" x14ac:dyDescent="0.6">
      <c r="A20" s="19" t="s">
        <v>58</v>
      </c>
      <c r="B20" s="3">
        <v>105506757</v>
      </c>
      <c r="C20" s="3">
        <v>210229261</v>
      </c>
      <c r="D20" s="4"/>
      <c r="E20" s="4"/>
      <c r="F20" s="4"/>
      <c r="G20" s="4"/>
      <c r="H20" s="4"/>
      <c r="I20" s="4"/>
      <c r="J20" s="4">
        <v>0</v>
      </c>
      <c r="K20" s="4">
        <v>0</v>
      </c>
      <c r="L20" s="4">
        <v>0</v>
      </c>
      <c r="M20" s="4">
        <v>0</v>
      </c>
      <c r="N20" s="3">
        <v>105506757</v>
      </c>
      <c r="O20" s="5">
        <v>210229261</v>
      </c>
    </row>
    <row r="21" spans="1:15" ht="40.5" x14ac:dyDescent="0.6">
      <c r="A21" s="19" t="s">
        <v>59</v>
      </c>
      <c r="B21" s="3">
        <v>-9866351</v>
      </c>
      <c r="C21" s="3">
        <v>-21024145</v>
      </c>
      <c r="D21" s="4"/>
      <c r="E21" s="4"/>
      <c r="F21" s="4"/>
      <c r="G21" s="4"/>
      <c r="H21" s="4"/>
      <c r="I21" s="4"/>
      <c r="J21" s="4">
        <v>0</v>
      </c>
      <c r="K21" s="4">
        <v>0</v>
      </c>
      <c r="L21" s="4">
        <v>0</v>
      </c>
      <c r="M21" s="4">
        <v>0</v>
      </c>
      <c r="N21" s="3">
        <v>-9866351</v>
      </c>
      <c r="O21" s="5">
        <v>-21024145</v>
      </c>
    </row>
    <row r="22" spans="1:15" ht="81" x14ac:dyDescent="0.6">
      <c r="A22" s="19" t="s">
        <v>60</v>
      </c>
      <c r="B22" s="4">
        <v>0</v>
      </c>
      <c r="C22" s="4">
        <v>0</v>
      </c>
      <c r="D22" s="4"/>
      <c r="E22" s="4"/>
      <c r="F22" s="4"/>
      <c r="G22" s="4"/>
      <c r="H22" s="4"/>
      <c r="I22" s="4"/>
      <c r="J22" s="3">
        <v>193543706</v>
      </c>
      <c r="K22" s="3">
        <v>364306283</v>
      </c>
      <c r="L22" s="3">
        <v>160518975</v>
      </c>
      <c r="M22" s="3">
        <v>318448463</v>
      </c>
      <c r="N22" s="3">
        <v>354062681</v>
      </c>
      <c r="O22" s="5">
        <v>682754746</v>
      </c>
    </row>
    <row r="23" spans="1:15" ht="40.5" x14ac:dyDescent="0.6">
      <c r="A23" s="19" t="s">
        <v>61</v>
      </c>
      <c r="B23" s="4">
        <v>0</v>
      </c>
      <c r="C23" s="3">
        <v>2970</v>
      </c>
      <c r="D23" s="4"/>
      <c r="E23" s="4"/>
      <c r="F23" s="4"/>
      <c r="G23" s="4"/>
      <c r="H23" s="4"/>
      <c r="I23" s="4"/>
      <c r="J23" s="4">
        <v>0</v>
      </c>
      <c r="K23" s="4">
        <v>0</v>
      </c>
      <c r="L23" s="4">
        <v>0</v>
      </c>
      <c r="M23" s="4">
        <v>-270</v>
      </c>
      <c r="N23" s="4">
        <v>0</v>
      </c>
      <c r="O23" s="5">
        <v>2700</v>
      </c>
    </row>
    <row r="24" spans="1:15" x14ac:dyDescent="0.6">
      <c r="A24" s="20" t="s">
        <v>62</v>
      </c>
      <c r="B24" s="7">
        <v>968914440</v>
      </c>
      <c r="C24" s="7">
        <v>1924871197</v>
      </c>
      <c r="D24" s="6"/>
      <c r="E24" s="6"/>
      <c r="F24" s="6"/>
      <c r="G24" s="6"/>
      <c r="H24" s="6"/>
      <c r="I24" s="6"/>
      <c r="J24" s="7">
        <v>193543706</v>
      </c>
      <c r="K24" s="7">
        <v>364306283</v>
      </c>
      <c r="L24" s="7">
        <v>160518975</v>
      </c>
      <c r="M24" s="7">
        <v>318448193</v>
      </c>
      <c r="N24" s="7">
        <v>1322977121</v>
      </c>
      <c r="O24" s="8">
        <v>2607625673</v>
      </c>
    </row>
    <row r="25" spans="1:15" x14ac:dyDescent="0.6">
      <c r="A25" s="12"/>
    </row>
    <row r="26" spans="1:15" ht="27" customHeight="1" x14ac:dyDescent="0.6">
      <c r="A26" s="15" t="s">
        <v>63</v>
      </c>
      <c r="B26" s="15"/>
    </row>
    <row r="27" spans="1:15" ht="27" x14ac:dyDescent="0.6">
      <c r="A27" s="12" t="s">
        <v>41</v>
      </c>
      <c r="B27" s="14" t="s">
        <v>42</v>
      </c>
    </row>
    <row r="28" spans="1:15" x14ac:dyDescent="0.6">
      <c r="A28" s="16"/>
      <c r="B28" s="21" t="s">
        <v>43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3"/>
    </row>
    <row r="29" spans="1:15" x14ac:dyDescent="0.6">
      <c r="A29" s="17"/>
      <c r="B29" s="24" t="s">
        <v>44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6"/>
    </row>
    <row r="30" spans="1:15" x14ac:dyDescent="0.6">
      <c r="A30" s="17"/>
      <c r="B30" s="24" t="s">
        <v>45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7"/>
      <c r="N30" s="28" t="s">
        <v>46</v>
      </c>
      <c r="O30" s="29"/>
    </row>
    <row r="31" spans="1:15" ht="27" customHeight="1" x14ac:dyDescent="0.6">
      <c r="A31" s="17"/>
      <c r="B31" s="24" t="s">
        <v>47</v>
      </c>
      <c r="C31" s="25"/>
      <c r="D31" s="25"/>
      <c r="E31" s="25"/>
      <c r="F31" s="25"/>
      <c r="G31" s="27"/>
      <c r="H31" s="24" t="s">
        <v>48</v>
      </c>
      <c r="I31" s="25"/>
      <c r="J31" s="25"/>
      <c r="K31" s="25"/>
      <c r="L31" s="25"/>
      <c r="M31" s="27"/>
      <c r="N31" s="30"/>
      <c r="O31" s="31"/>
    </row>
    <row r="32" spans="1:15" x14ac:dyDescent="0.6">
      <c r="A32" s="17"/>
      <c r="B32" s="24" t="s">
        <v>49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7"/>
      <c r="N32" s="30"/>
      <c r="O32" s="31"/>
    </row>
    <row r="33" spans="1:15" ht="27" customHeight="1" x14ac:dyDescent="0.6">
      <c r="A33" s="17"/>
      <c r="B33" s="24" t="s">
        <v>0</v>
      </c>
      <c r="C33" s="27"/>
      <c r="D33" s="24" t="s">
        <v>2</v>
      </c>
      <c r="E33" s="27"/>
      <c r="F33" s="24" t="s">
        <v>1</v>
      </c>
      <c r="G33" s="27"/>
      <c r="H33" s="24" t="s">
        <v>0</v>
      </c>
      <c r="I33" s="27"/>
      <c r="J33" s="24" t="s">
        <v>2</v>
      </c>
      <c r="K33" s="27"/>
      <c r="L33" s="24" t="s">
        <v>1</v>
      </c>
      <c r="M33" s="27"/>
      <c r="N33" s="32"/>
      <c r="O33" s="33"/>
    </row>
    <row r="34" spans="1:15" ht="40.5" x14ac:dyDescent="0.6">
      <c r="A34" s="17"/>
      <c r="B34" s="1" t="s">
        <v>50</v>
      </c>
      <c r="C34" s="1" t="s">
        <v>51</v>
      </c>
      <c r="D34" s="1" t="s">
        <v>50</v>
      </c>
      <c r="E34" s="1" t="s">
        <v>51</v>
      </c>
      <c r="F34" s="1" t="s">
        <v>50</v>
      </c>
      <c r="G34" s="1" t="s">
        <v>51</v>
      </c>
      <c r="H34" s="1" t="s">
        <v>50</v>
      </c>
      <c r="I34" s="1" t="s">
        <v>51</v>
      </c>
      <c r="J34" s="1" t="s">
        <v>50</v>
      </c>
      <c r="K34" s="1" t="s">
        <v>51</v>
      </c>
      <c r="L34" s="1" t="s">
        <v>50</v>
      </c>
      <c r="M34" s="1" t="s">
        <v>51</v>
      </c>
      <c r="N34" s="1" t="s">
        <v>50</v>
      </c>
      <c r="O34" s="18" t="s">
        <v>51</v>
      </c>
    </row>
    <row r="35" spans="1:15" ht="54" x14ac:dyDescent="0.6">
      <c r="A35" s="19" t="s">
        <v>64</v>
      </c>
      <c r="B35" s="3">
        <v>637300139</v>
      </c>
      <c r="C35" s="3">
        <v>1286746614</v>
      </c>
      <c r="D35" s="4"/>
      <c r="E35" s="4"/>
      <c r="F35" s="4"/>
      <c r="G35" s="4"/>
      <c r="H35" s="4"/>
      <c r="I35" s="4"/>
      <c r="J35" s="3">
        <v>139420238</v>
      </c>
      <c r="K35" s="3">
        <v>220843942</v>
      </c>
      <c r="L35" s="3">
        <v>123908201</v>
      </c>
      <c r="M35" s="3">
        <v>248359928</v>
      </c>
      <c r="N35" s="3">
        <v>900628578</v>
      </c>
      <c r="O35" s="5">
        <v>1755950484</v>
      </c>
    </row>
    <row r="36" spans="1:15" ht="54" x14ac:dyDescent="0.6">
      <c r="A36" s="19" t="s">
        <v>65</v>
      </c>
      <c r="B36" s="3">
        <v>23607352</v>
      </c>
      <c r="C36" s="3">
        <v>47828820</v>
      </c>
      <c r="D36" s="4"/>
      <c r="E36" s="4"/>
      <c r="F36" s="4"/>
      <c r="G36" s="4"/>
      <c r="H36" s="4"/>
      <c r="I36" s="4"/>
      <c r="J36" s="3">
        <v>7950274</v>
      </c>
      <c r="K36" s="3">
        <v>13766875</v>
      </c>
      <c r="L36" s="3">
        <v>12222266</v>
      </c>
      <c r="M36" s="3">
        <v>23342006</v>
      </c>
      <c r="N36" s="3">
        <v>43779892</v>
      </c>
      <c r="O36" s="5">
        <v>84937701</v>
      </c>
    </row>
    <row r="37" spans="1:15" ht="67.5" x14ac:dyDescent="0.6">
      <c r="A37" s="19" t="s">
        <v>66</v>
      </c>
      <c r="B37" s="3">
        <v>10086070</v>
      </c>
      <c r="C37" s="3">
        <v>-12086559</v>
      </c>
      <c r="D37" s="4"/>
      <c r="E37" s="4"/>
      <c r="F37" s="4"/>
      <c r="G37" s="4"/>
      <c r="H37" s="4"/>
      <c r="I37" s="4"/>
      <c r="J37" s="3">
        <v>8452944</v>
      </c>
      <c r="K37" s="3">
        <v>17160223</v>
      </c>
      <c r="L37" s="3">
        <v>-2481711</v>
      </c>
      <c r="M37" s="3">
        <v>-8890837</v>
      </c>
      <c r="N37" s="3">
        <v>16057303</v>
      </c>
      <c r="O37" s="5">
        <v>-3817173</v>
      </c>
    </row>
    <row r="38" spans="1:15" ht="54" x14ac:dyDescent="0.6">
      <c r="A38" s="19" t="s">
        <v>67</v>
      </c>
      <c r="B38" s="3">
        <v>68701040</v>
      </c>
      <c r="C38" s="3">
        <v>137323386</v>
      </c>
      <c r="D38" s="4"/>
      <c r="E38" s="4"/>
      <c r="F38" s="4"/>
      <c r="G38" s="4"/>
      <c r="H38" s="4"/>
      <c r="I38" s="4"/>
      <c r="J38" s="3">
        <v>5687512</v>
      </c>
      <c r="K38" s="3">
        <v>10783002</v>
      </c>
      <c r="L38" s="3">
        <v>9650709</v>
      </c>
      <c r="M38" s="3">
        <v>19309045</v>
      </c>
      <c r="N38" s="3">
        <v>84039261</v>
      </c>
      <c r="O38" s="5">
        <v>167415433</v>
      </c>
    </row>
    <row r="39" spans="1:15" ht="54" x14ac:dyDescent="0.6">
      <c r="A39" s="19" t="s">
        <v>68</v>
      </c>
      <c r="B39" s="3">
        <v>2748919</v>
      </c>
      <c r="C39" s="3">
        <v>6132160</v>
      </c>
      <c r="D39" s="4"/>
      <c r="E39" s="4"/>
      <c r="F39" s="4"/>
      <c r="G39" s="4"/>
      <c r="H39" s="4"/>
      <c r="I39" s="4"/>
      <c r="J39" s="3">
        <v>22636</v>
      </c>
      <c r="K39" s="3">
        <v>50955</v>
      </c>
      <c r="L39" s="3">
        <v>47258</v>
      </c>
      <c r="M39" s="3">
        <v>108092</v>
      </c>
      <c r="N39" s="3">
        <v>2818813</v>
      </c>
      <c r="O39" s="5">
        <v>6291207</v>
      </c>
    </row>
    <row r="40" spans="1:15" ht="81" x14ac:dyDescent="0.6">
      <c r="A40" s="19" t="s">
        <v>69</v>
      </c>
      <c r="B40" s="3">
        <v>132490299</v>
      </c>
      <c r="C40" s="3">
        <v>265117257</v>
      </c>
      <c r="D40" s="4"/>
      <c r="E40" s="4"/>
      <c r="F40" s="4"/>
      <c r="G40" s="4"/>
      <c r="H40" s="4"/>
      <c r="I40" s="4"/>
      <c r="J40" s="3">
        <v>23568569</v>
      </c>
      <c r="K40" s="3">
        <v>47426033</v>
      </c>
      <c r="L40" s="4">
        <v>0</v>
      </c>
      <c r="M40" s="4">
        <v>0</v>
      </c>
      <c r="N40" s="3">
        <v>156058868</v>
      </c>
      <c r="O40" s="5">
        <v>312543290</v>
      </c>
    </row>
    <row r="41" spans="1:15" ht="81" x14ac:dyDescent="0.6">
      <c r="A41" s="19" t="s">
        <v>70</v>
      </c>
      <c r="B41" s="4">
        <v>0</v>
      </c>
      <c r="C41" s="4">
        <v>0</v>
      </c>
      <c r="D41" s="4"/>
      <c r="E41" s="4"/>
      <c r="F41" s="4"/>
      <c r="G41" s="4"/>
      <c r="H41" s="4"/>
      <c r="I41" s="4"/>
      <c r="J41" s="4">
        <v>0</v>
      </c>
      <c r="K41" s="4">
        <v>0</v>
      </c>
      <c r="L41" s="3">
        <v>20387281</v>
      </c>
      <c r="M41" s="3">
        <v>40413470</v>
      </c>
      <c r="N41" s="3">
        <v>20387281</v>
      </c>
      <c r="O41" s="5">
        <v>40413470</v>
      </c>
    </row>
    <row r="42" spans="1:15" ht="81" x14ac:dyDescent="0.6">
      <c r="A42" s="19" t="s">
        <v>71</v>
      </c>
      <c r="B42" s="3">
        <v>-2684493</v>
      </c>
      <c r="C42" s="3">
        <v>-8426388</v>
      </c>
      <c r="D42" s="4"/>
      <c r="E42" s="4"/>
      <c r="F42" s="4"/>
      <c r="G42" s="4"/>
      <c r="H42" s="4"/>
      <c r="I42" s="4"/>
      <c r="J42" s="4">
        <v>0</v>
      </c>
      <c r="K42" s="4">
        <v>0</v>
      </c>
      <c r="L42" s="4">
        <v>0</v>
      </c>
      <c r="M42" s="4">
        <v>0</v>
      </c>
      <c r="N42" s="3">
        <v>-2684493</v>
      </c>
      <c r="O42" s="5">
        <v>-8426388</v>
      </c>
    </row>
    <row r="43" spans="1:15" ht="54" x14ac:dyDescent="0.6">
      <c r="A43" s="19" t="s">
        <v>72</v>
      </c>
      <c r="B43" s="3">
        <v>-9866351</v>
      </c>
      <c r="C43" s="3">
        <v>-21024145</v>
      </c>
      <c r="D43" s="4"/>
      <c r="E43" s="4"/>
      <c r="F43" s="4"/>
      <c r="G43" s="4"/>
      <c r="H43" s="4"/>
      <c r="I43" s="4"/>
      <c r="J43" s="4">
        <v>0</v>
      </c>
      <c r="K43" s="4">
        <v>0</v>
      </c>
      <c r="L43" s="4">
        <v>0</v>
      </c>
      <c r="M43" s="4">
        <v>0</v>
      </c>
      <c r="N43" s="3">
        <v>-9866351</v>
      </c>
      <c r="O43" s="5">
        <v>-21024145</v>
      </c>
    </row>
    <row r="44" spans="1:15" ht="94.5" x14ac:dyDescent="0.6">
      <c r="A44" s="19" t="s">
        <v>73</v>
      </c>
      <c r="B44" s="3">
        <v>-198915</v>
      </c>
      <c r="C44" s="3">
        <v>-28561368</v>
      </c>
      <c r="D44" s="4"/>
      <c r="E44" s="4"/>
      <c r="F44" s="4"/>
      <c r="G44" s="4"/>
      <c r="H44" s="4"/>
      <c r="I44" s="4"/>
      <c r="J44" s="3">
        <v>2061124</v>
      </c>
      <c r="K44" s="3">
        <v>2432401</v>
      </c>
      <c r="L44" s="4">
        <v>0</v>
      </c>
      <c r="M44" s="3">
        <v>-11773</v>
      </c>
      <c r="N44" s="3">
        <v>1862209</v>
      </c>
      <c r="O44" s="5">
        <v>-26140740</v>
      </c>
    </row>
    <row r="45" spans="1:15" ht="67.5" x14ac:dyDescent="0.6">
      <c r="A45" s="19" t="s">
        <v>74</v>
      </c>
      <c r="B45" s="3">
        <v>579795</v>
      </c>
      <c r="C45" s="3">
        <v>1124523</v>
      </c>
      <c r="D45" s="4"/>
      <c r="E45" s="4"/>
      <c r="F45" s="4"/>
      <c r="G45" s="4"/>
      <c r="H45" s="4"/>
      <c r="I45" s="4"/>
      <c r="J45" s="3">
        <v>101773</v>
      </c>
      <c r="K45" s="3">
        <v>231765</v>
      </c>
      <c r="L45" s="4">
        <v>0</v>
      </c>
      <c r="M45" s="4">
        <v>0</v>
      </c>
      <c r="N45" s="3">
        <v>681568</v>
      </c>
      <c r="O45" s="5">
        <v>1356288</v>
      </c>
    </row>
    <row r="46" spans="1:15" ht="67.5" x14ac:dyDescent="0.6">
      <c r="A46" s="20" t="s">
        <v>75</v>
      </c>
      <c r="B46" s="7">
        <v>862763855</v>
      </c>
      <c r="C46" s="7">
        <v>1674174300</v>
      </c>
      <c r="D46" s="6"/>
      <c r="E46" s="6"/>
      <c r="F46" s="6"/>
      <c r="G46" s="6"/>
      <c r="H46" s="6"/>
      <c r="I46" s="6"/>
      <c r="J46" s="7">
        <v>187265070</v>
      </c>
      <c r="K46" s="7">
        <v>312695196</v>
      </c>
      <c r="L46" s="7">
        <v>163734004</v>
      </c>
      <c r="M46" s="7">
        <v>322629931</v>
      </c>
      <c r="N46" s="7">
        <v>1213762929</v>
      </c>
      <c r="O46" s="8">
        <v>2309499427</v>
      </c>
    </row>
    <row r="47" spans="1:15" x14ac:dyDescent="0.6">
      <c r="A47" s="12"/>
    </row>
    <row r="49" spans="1:17" x14ac:dyDescent="0.6">
      <c r="A49" s="11" t="s">
        <v>76</v>
      </c>
    </row>
    <row r="50" spans="1:17" x14ac:dyDescent="0.6">
      <c r="A50" s="12"/>
    </row>
    <row r="51" spans="1:17" ht="27" customHeight="1" x14ac:dyDescent="0.6">
      <c r="A51" s="15" t="s">
        <v>77</v>
      </c>
      <c r="B51" s="15"/>
    </row>
    <row r="52" spans="1:17" ht="27" x14ac:dyDescent="0.6">
      <c r="A52" s="12" t="s">
        <v>41</v>
      </c>
      <c r="B52" s="14" t="s">
        <v>42</v>
      </c>
    </row>
    <row r="53" spans="1:17" x14ac:dyDescent="0.6">
      <c r="A53" s="16"/>
      <c r="B53" s="21" t="s">
        <v>43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3"/>
    </row>
    <row r="54" spans="1:17" x14ac:dyDescent="0.6">
      <c r="A54" s="17"/>
      <c r="B54" s="24" t="s">
        <v>78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6"/>
    </row>
    <row r="55" spans="1:17" x14ac:dyDescent="0.6">
      <c r="A55" s="17"/>
      <c r="B55" s="24" t="s">
        <v>45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6"/>
    </row>
    <row r="56" spans="1:17" x14ac:dyDescent="0.6">
      <c r="A56" s="17"/>
      <c r="B56" s="24" t="s">
        <v>47</v>
      </c>
      <c r="C56" s="25"/>
      <c r="D56" s="25"/>
      <c r="E56" s="25"/>
      <c r="F56" s="25"/>
      <c r="G56" s="25"/>
      <c r="H56" s="25"/>
      <c r="I56" s="27"/>
      <c r="J56" s="24" t="s">
        <v>48</v>
      </c>
      <c r="K56" s="25"/>
      <c r="L56" s="25"/>
      <c r="M56" s="25"/>
      <c r="N56" s="25"/>
      <c r="O56" s="25"/>
      <c r="P56" s="25"/>
      <c r="Q56" s="26"/>
    </row>
    <row r="57" spans="1:17" ht="50.65" customHeight="1" x14ac:dyDescent="0.6">
      <c r="A57" s="17"/>
      <c r="B57" s="24" t="s">
        <v>49</v>
      </c>
      <c r="C57" s="25"/>
      <c r="D57" s="25"/>
      <c r="E57" s="25"/>
      <c r="F57" s="25"/>
      <c r="G57" s="27"/>
      <c r="H57" s="28" t="s">
        <v>79</v>
      </c>
      <c r="I57" s="35"/>
      <c r="J57" s="24" t="s">
        <v>49</v>
      </c>
      <c r="K57" s="25"/>
      <c r="L57" s="25"/>
      <c r="M57" s="25"/>
      <c r="N57" s="25"/>
      <c r="O57" s="27"/>
      <c r="P57" s="28" t="s">
        <v>79</v>
      </c>
      <c r="Q57" s="29"/>
    </row>
    <row r="58" spans="1:17" ht="27" customHeight="1" x14ac:dyDescent="0.6">
      <c r="A58" s="17"/>
      <c r="B58" s="24" t="s">
        <v>0</v>
      </c>
      <c r="C58" s="27"/>
      <c r="D58" s="24" t="s">
        <v>2</v>
      </c>
      <c r="E58" s="27"/>
      <c r="F58" s="24" t="s">
        <v>1</v>
      </c>
      <c r="G58" s="27"/>
      <c r="H58" s="32"/>
      <c r="I58" s="36"/>
      <c r="J58" s="24" t="s">
        <v>0</v>
      </c>
      <c r="K58" s="27"/>
      <c r="L58" s="24" t="s">
        <v>2</v>
      </c>
      <c r="M58" s="27"/>
      <c r="N58" s="24" t="s">
        <v>1</v>
      </c>
      <c r="O58" s="27"/>
      <c r="P58" s="32"/>
      <c r="Q58" s="33"/>
    </row>
    <row r="59" spans="1:17" ht="40.5" x14ac:dyDescent="0.6">
      <c r="A59" s="17"/>
      <c r="B59" s="1" t="s">
        <v>50</v>
      </c>
      <c r="C59" s="1" t="s">
        <v>51</v>
      </c>
      <c r="D59" s="1" t="s">
        <v>50</v>
      </c>
      <c r="E59" s="1" t="s">
        <v>51</v>
      </c>
      <c r="F59" s="1" t="s">
        <v>50</v>
      </c>
      <c r="G59" s="1" t="s">
        <v>51</v>
      </c>
      <c r="H59" s="1" t="s">
        <v>50</v>
      </c>
      <c r="I59" s="1" t="s">
        <v>51</v>
      </c>
      <c r="J59" s="1" t="s">
        <v>50</v>
      </c>
      <c r="K59" s="1" t="s">
        <v>51</v>
      </c>
      <c r="L59" s="1" t="s">
        <v>50</v>
      </c>
      <c r="M59" s="1" t="s">
        <v>51</v>
      </c>
      <c r="N59" s="1" t="s">
        <v>50</v>
      </c>
      <c r="O59" s="1" t="s">
        <v>51</v>
      </c>
      <c r="P59" s="1" t="s">
        <v>50</v>
      </c>
      <c r="Q59" s="18" t="s">
        <v>51</v>
      </c>
    </row>
    <row r="60" spans="1:17" ht="40.5" x14ac:dyDescent="0.6">
      <c r="A60" s="19" t="s">
        <v>80</v>
      </c>
      <c r="B60" s="3">
        <v>10594805</v>
      </c>
      <c r="C60" s="3">
        <v>21229716</v>
      </c>
      <c r="D60" s="4">
        <v>0</v>
      </c>
      <c r="E60" s="4">
        <v>0</v>
      </c>
      <c r="F60" s="4">
        <v>0</v>
      </c>
      <c r="G60" s="4">
        <v>0</v>
      </c>
      <c r="H60" s="3">
        <v>10594805</v>
      </c>
      <c r="I60" s="3">
        <v>21229716</v>
      </c>
      <c r="J60" s="3">
        <v>-222807</v>
      </c>
      <c r="K60" s="3">
        <v>-593775</v>
      </c>
      <c r="L60" s="3">
        <v>74382489</v>
      </c>
      <c r="M60" s="3">
        <v>106030610</v>
      </c>
      <c r="N60" s="3">
        <v>139427</v>
      </c>
      <c r="O60" s="3">
        <v>151755</v>
      </c>
      <c r="P60" s="3">
        <v>74299109</v>
      </c>
      <c r="Q60" s="5">
        <v>105588590</v>
      </c>
    </row>
    <row r="61" spans="1:17" ht="54" x14ac:dyDescent="0.6">
      <c r="A61" s="19" t="s">
        <v>81</v>
      </c>
      <c r="B61" s="3">
        <v>63783</v>
      </c>
      <c r="C61" s="3">
        <v>139279</v>
      </c>
      <c r="D61" s="4">
        <v>0</v>
      </c>
      <c r="E61" s="4">
        <v>0</v>
      </c>
      <c r="F61" s="4">
        <v>0</v>
      </c>
      <c r="G61" s="4">
        <v>0</v>
      </c>
      <c r="H61" s="3">
        <v>63783</v>
      </c>
      <c r="I61" s="3">
        <v>139279</v>
      </c>
      <c r="J61" s="4">
        <v>0</v>
      </c>
      <c r="K61" s="4">
        <v>0</v>
      </c>
      <c r="L61" s="3">
        <v>2686527</v>
      </c>
      <c r="M61" s="3">
        <v>4209413</v>
      </c>
      <c r="N61" s="4">
        <v>0</v>
      </c>
      <c r="O61" s="4">
        <v>0</v>
      </c>
      <c r="P61" s="3">
        <v>2686527</v>
      </c>
      <c r="Q61" s="5">
        <v>4209413</v>
      </c>
    </row>
    <row r="62" spans="1:17" ht="67.5" x14ac:dyDescent="0.6">
      <c r="A62" s="19" t="s">
        <v>82</v>
      </c>
      <c r="B62" s="3">
        <v>2593103</v>
      </c>
      <c r="C62" s="3">
        <v>4683031</v>
      </c>
      <c r="D62" s="4">
        <v>0</v>
      </c>
      <c r="E62" s="4">
        <v>0</v>
      </c>
      <c r="F62" s="4">
        <v>0</v>
      </c>
      <c r="G62" s="4">
        <v>0</v>
      </c>
      <c r="H62" s="3">
        <v>2593103</v>
      </c>
      <c r="I62" s="3">
        <v>4683031</v>
      </c>
      <c r="J62" s="3">
        <v>1224761</v>
      </c>
      <c r="K62" s="3">
        <v>2409158</v>
      </c>
      <c r="L62" s="3">
        <v>3442697</v>
      </c>
      <c r="M62" s="3">
        <v>6282268</v>
      </c>
      <c r="N62" s="3">
        <v>166507</v>
      </c>
      <c r="O62" s="3">
        <v>-9071</v>
      </c>
      <c r="P62" s="3">
        <v>4833965</v>
      </c>
      <c r="Q62" s="5">
        <v>8682355</v>
      </c>
    </row>
    <row r="63" spans="1:17" ht="54" x14ac:dyDescent="0.6">
      <c r="A63" s="19" t="s">
        <v>83</v>
      </c>
      <c r="B63" s="3">
        <v>-140306</v>
      </c>
      <c r="C63" s="3">
        <v>-284227</v>
      </c>
      <c r="D63" s="4">
        <v>0</v>
      </c>
      <c r="E63" s="4">
        <v>0</v>
      </c>
      <c r="F63" s="4">
        <v>0</v>
      </c>
      <c r="G63" s="4">
        <v>0</v>
      </c>
      <c r="H63" s="3">
        <v>-140306</v>
      </c>
      <c r="I63" s="3">
        <v>-284227</v>
      </c>
      <c r="J63" s="4"/>
      <c r="K63" s="4"/>
      <c r="L63" s="4"/>
      <c r="M63" s="4"/>
      <c r="N63" s="4"/>
      <c r="O63" s="4"/>
      <c r="P63" s="4"/>
      <c r="Q63" s="9"/>
    </row>
    <row r="64" spans="1:17" ht="81" x14ac:dyDescent="0.6">
      <c r="A64" s="19" t="s">
        <v>84</v>
      </c>
      <c r="B64" s="3">
        <v>-340277</v>
      </c>
      <c r="C64" s="3">
        <v>-453505</v>
      </c>
      <c r="D64" s="4">
        <v>0</v>
      </c>
      <c r="E64" s="4">
        <v>0</v>
      </c>
      <c r="F64" s="4">
        <v>0</v>
      </c>
      <c r="G64" s="4">
        <v>0</v>
      </c>
      <c r="H64" s="3">
        <v>-340277</v>
      </c>
      <c r="I64" s="3">
        <v>-453505</v>
      </c>
      <c r="J64" s="3">
        <v>-403904</v>
      </c>
      <c r="K64" s="3">
        <v>697244</v>
      </c>
      <c r="L64" s="3">
        <v>-41891</v>
      </c>
      <c r="M64" s="3">
        <v>-299212</v>
      </c>
      <c r="N64" s="4">
        <v>0</v>
      </c>
      <c r="O64" s="4">
        <v>0</v>
      </c>
      <c r="P64" s="3">
        <v>-445795</v>
      </c>
      <c r="Q64" s="5">
        <v>398032</v>
      </c>
    </row>
    <row r="65" spans="1:17" ht="67.5" x14ac:dyDescent="0.6">
      <c r="A65" s="20" t="s">
        <v>85</v>
      </c>
      <c r="B65" s="7">
        <v>-2033225</v>
      </c>
      <c r="C65" s="7">
        <v>-4026525</v>
      </c>
      <c r="D65" s="6">
        <v>0</v>
      </c>
      <c r="E65" s="6">
        <v>0</v>
      </c>
      <c r="F65" s="6">
        <v>0</v>
      </c>
      <c r="G65" s="6">
        <v>0</v>
      </c>
      <c r="H65" s="7">
        <v>-2033225</v>
      </c>
      <c r="I65" s="7">
        <v>-4026525</v>
      </c>
      <c r="J65" s="6">
        <v>0</v>
      </c>
      <c r="K65" s="6">
        <v>0</v>
      </c>
      <c r="L65" s="6">
        <v>368</v>
      </c>
      <c r="M65" s="6">
        <v>368</v>
      </c>
      <c r="N65" s="6">
        <v>0</v>
      </c>
      <c r="O65" s="6">
        <v>0</v>
      </c>
      <c r="P65" s="6">
        <v>368</v>
      </c>
      <c r="Q65" s="34">
        <v>368</v>
      </c>
    </row>
    <row r="66" spans="1:17" x14ac:dyDescent="0.6">
      <c r="A66" s="12"/>
    </row>
    <row r="67" spans="1:17" ht="27" customHeight="1" x14ac:dyDescent="0.6">
      <c r="A67" s="15" t="s">
        <v>86</v>
      </c>
      <c r="B67" s="15"/>
    </row>
    <row r="68" spans="1:17" ht="27" x14ac:dyDescent="0.6">
      <c r="A68" s="12" t="s">
        <v>41</v>
      </c>
      <c r="B68" s="14" t="s">
        <v>42</v>
      </c>
    </row>
    <row r="69" spans="1:17" x14ac:dyDescent="0.6">
      <c r="A69" s="16"/>
      <c r="B69" s="21" t="s">
        <v>43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3"/>
    </row>
    <row r="70" spans="1:17" x14ac:dyDescent="0.6">
      <c r="A70" s="17"/>
      <c r="B70" s="24" t="s">
        <v>78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6"/>
    </row>
    <row r="71" spans="1:17" x14ac:dyDescent="0.6">
      <c r="A71" s="17"/>
      <c r="B71" s="24" t="s">
        <v>45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6"/>
    </row>
    <row r="72" spans="1:17" x14ac:dyDescent="0.6">
      <c r="A72" s="17"/>
      <c r="B72" s="24" t="s">
        <v>47</v>
      </c>
      <c r="C72" s="25"/>
      <c r="D72" s="25"/>
      <c r="E72" s="25"/>
      <c r="F72" s="25"/>
      <c r="G72" s="25"/>
      <c r="H72" s="25"/>
      <c r="I72" s="27"/>
      <c r="J72" s="24" t="s">
        <v>48</v>
      </c>
      <c r="K72" s="25"/>
      <c r="L72" s="25"/>
      <c r="M72" s="25"/>
      <c r="N72" s="25"/>
      <c r="O72" s="25"/>
      <c r="P72" s="25"/>
      <c r="Q72" s="26"/>
    </row>
    <row r="73" spans="1:17" ht="50.65" customHeight="1" x14ac:dyDescent="0.6">
      <c r="A73" s="17"/>
      <c r="B73" s="24" t="s">
        <v>49</v>
      </c>
      <c r="C73" s="25"/>
      <c r="D73" s="25"/>
      <c r="E73" s="25"/>
      <c r="F73" s="25"/>
      <c r="G73" s="27"/>
      <c r="H73" s="28" t="s">
        <v>79</v>
      </c>
      <c r="I73" s="35"/>
      <c r="J73" s="24" t="s">
        <v>49</v>
      </c>
      <c r="K73" s="25"/>
      <c r="L73" s="25"/>
      <c r="M73" s="25"/>
      <c r="N73" s="25"/>
      <c r="O73" s="27"/>
      <c r="P73" s="28" t="s">
        <v>79</v>
      </c>
      <c r="Q73" s="29"/>
    </row>
    <row r="74" spans="1:17" ht="27" customHeight="1" x14ac:dyDescent="0.6">
      <c r="A74" s="17"/>
      <c r="B74" s="24" t="s">
        <v>0</v>
      </c>
      <c r="C74" s="27"/>
      <c r="D74" s="24" t="s">
        <v>2</v>
      </c>
      <c r="E74" s="27"/>
      <c r="F74" s="24" t="s">
        <v>1</v>
      </c>
      <c r="G74" s="27"/>
      <c r="H74" s="32"/>
      <c r="I74" s="36"/>
      <c r="J74" s="24" t="s">
        <v>0</v>
      </c>
      <c r="K74" s="27"/>
      <c r="L74" s="24" t="s">
        <v>2</v>
      </c>
      <c r="M74" s="27"/>
      <c r="N74" s="24" t="s">
        <v>1</v>
      </c>
      <c r="O74" s="27"/>
      <c r="P74" s="32"/>
      <c r="Q74" s="33"/>
    </row>
    <row r="75" spans="1:17" ht="40.5" x14ac:dyDescent="0.6">
      <c r="A75" s="17"/>
      <c r="B75" s="1" t="s">
        <v>50</v>
      </c>
      <c r="C75" s="1" t="s">
        <v>51</v>
      </c>
      <c r="D75" s="1" t="s">
        <v>50</v>
      </c>
      <c r="E75" s="1" t="s">
        <v>51</v>
      </c>
      <c r="F75" s="1" t="s">
        <v>50</v>
      </c>
      <c r="G75" s="1" t="s">
        <v>51</v>
      </c>
      <c r="H75" s="1" t="s">
        <v>50</v>
      </c>
      <c r="I75" s="1" t="s">
        <v>51</v>
      </c>
      <c r="J75" s="1" t="s">
        <v>50</v>
      </c>
      <c r="K75" s="1" t="s">
        <v>51</v>
      </c>
      <c r="L75" s="1" t="s">
        <v>50</v>
      </c>
      <c r="M75" s="1" t="s">
        <v>51</v>
      </c>
      <c r="N75" s="1" t="s">
        <v>50</v>
      </c>
      <c r="O75" s="1" t="s">
        <v>51</v>
      </c>
      <c r="P75" s="1" t="s">
        <v>50</v>
      </c>
      <c r="Q75" s="18" t="s">
        <v>51</v>
      </c>
    </row>
    <row r="76" spans="1:17" ht="67.5" x14ac:dyDescent="0.6">
      <c r="A76" s="19" t="s">
        <v>87</v>
      </c>
      <c r="B76" s="3">
        <v>7989324</v>
      </c>
      <c r="C76" s="3">
        <v>16831386</v>
      </c>
      <c r="D76" s="4">
        <v>0</v>
      </c>
      <c r="E76" s="4">
        <v>0</v>
      </c>
      <c r="F76" s="4">
        <v>0</v>
      </c>
      <c r="G76" s="4">
        <v>0</v>
      </c>
      <c r="H76" s="3">
        <v>7989324</v>
      </c>
      <c r="I76" s="3">
        <v>16831386</v>
      </c>
      <c r="J76" s="4"/>
      <c r="K76" s="4"/>
      <c r="L76" s="4"/>
      <c r="M76" s="4"/>
      <c r="N76" s="4"/>
      <c r="O76" s="4"/>
      <c r="P76" s="4"/>
      <c r="Q76" s="9"/>
    </row>
    <row r="77" spans="1:17" ht="81" x14ac:dyDescent="0.6">
      <c r="A77" s="19" t="s">
        <v>88</v>
      </c>
      <c r="B77" s="3">
        <v>161646</v>
      </c>
      <c r="C77" s="3">
        <v>353043</v>
      </c>
      <c r="D77" s="4">
        <v>0</v>
      </c>
      <c r="E77" s="4">
        <v>0</v>
      </c>
      <c r="F77" s="4">
        <v>0</v>
      </c>
      <c r="G77" s="4">
        <v>0</v>
      </c>
      <c r="H77" s="3">
        <v>161646</v>
      </c>
      <c r="I77" s="3">
        <v>353043</v>
      </c>
      <c r="J77" s="4"/>
      <c r="K77" s="4"/>
      <c r="L77" s="4"/>
      <c r="M77" s="4"/>
      <c r="N77" s="4"/>
      <c r="O77" s="4"/>
      <c r="P77" s="4"/>
      <c r="Q77" s="9"/>
    </row>
    <row r="78" spans="1:17" ht="94.5" x14ac:dyDescent="0.6">
      <c r="A78" s="19" t="s">
        <v>89</v>
      </c>
      <c r="B78" s="3">
        <v>2599680</v>
      </c>
      <c r="C78" s="3">
        <v>4846076</v>
      </c>
      <c r="D78" s="4">
        <v>0</v>
      </c>
      <c r="E78" s="4">
        <v>0</v>
      </c>
      <c r="F78" s="4">
        <v>0</v>
      </c>
      <c r="G78" s="4">
        <v>0</v>
      </c>
      <c r="H78" s="3">
        <v>2599680</v>
      </c>
      <c r="I78" s="3">
        <v>4846076</v>
      </c>
      <c r="J78" s="4"/>
      <c r="K78" s="4"/>
      <c r="L78" s="4"/>
      <c r="M78" s="4"/>
      <c r="N78" s="4"/>
      <c r="O78" s="4"/>
      <c r="P78" s="4"/>
      <c r="Q78" s="9"/>
    </row>
    <row r="79" spans="1:17" ht="81" x14ac:dyDescent="0.6">
      <c r="A79" s="19" t="s">
        <v>90</v>
      </c>
      <c r="B79" s="3">
        <v>345790</v>
      </c>
      <c r="C79" s="3">
        <v>681197</v>
      </c>
      <c r="D79" s="4">
        <v>0</v>
      </c>
      <c r="E79" s="4">
        <v>0</v>
      </c>
      <c r="F79" s="4">
        <v>0</v>
      </c>
      <c r="G79" s="4">
        <v>0</v>
      </c>
      <c r="H79" s="3">
        <v>345790</v>
      </c>
      <c r="I79" s="3">
        <v>681197</v>
      </c>
      <c r="J79" s="4"/>
      <c r="K79" s="4"/>
      <c r="L79" s="4"/>
      <c r="M79" s="4"/>
      <c r="N79" s="4"/>
      <c r="O79" s="4"/>
      <c r="P79" s="4"/>
      <c r="Q79" s="9"/>
    </row>
    <row r="80" spans="1:17" ht="54" x14ac:dyDescent="0.6">
      <c r="A80" s="19" t="s">
        <v>91</v>
      </c>
      <c r="B80" s="3">
        <v>-140306</v>
      </c>
      <c r="C80" s="3">
        <v>-284227</v>
      </c>
      <c r="D80" s="4">
        <v>0</v>
      </c>
      <c r="E80" s="4">
        <v>0</v>
      </c>
      <c r="F80" s="4">
        <v>0</v>
      </c>
      <c r="G80" s="4">
        <v>0</v>
      </c>
      <c r="H80" s="3">
        <v>-140306</v>
      </c>
      <c r="I80" s="3">
        <v>-284227</v>
      </c>
      <c r="J80" s="4"/>
      <c r="K80" s="4"/>
      <c r="L80" s="4"/>
      <c r="M80" s="4"/>
      <c r="N80" s="4"/>
      <c r="O80" s="4"/>
      <c r="P80" s="4"/>
      <c r="Q80" s="9"/>
    </row>
    <row r="81" spans="1:17" ht="81" x14ac:dyDescent="0.6">
      <c r="A81" s="19" t="s">
        <v>92</v>
      </c>
      <c r="B81" s="3">
        <v>-810194</v>
      </c>
      <c r="C81" s="3">
        <v>-1517619</v>
      </c>
      <c r="D81" s="4">
        <v>0</v>
      </c>
      <c r="E81" s="4">
        <v>0</v>
      </c>
      <c r="F81" s="4">
        <v>0</v>
      </c>
      <c r="G81" s="4">
        <v>0</v>
      </c>
      <c r="H81" s="3">
        <v>-810194</v>
      </c>
      <c r="I81" s="3">
        <v>-1517619</v>
      </c>
      <c r="J81" s="4"/>
      <c r="K81" s="4"/>
      <c r="L81" s="4"/>
      <c r="M81" s="4"/>
      <c r="N81" s="4"/>
      <c r="O81" s="4"/>
      <c r="P81" s="4"/>
      <c r="Q81" s="9"/>
    </row>
    <row r="82" spans="1:17" ht="81" x14ac:dyDescent="0.6">
      <c r="A82" s="19" t="s">
        <v>93</v>
      </c>
      <c r="B82" s="4"/>
      <c r="C82" s="4"/>
      <c r="D82" s="4"/>
      <c r="E82" s="4"/>
      <c r="F82" s="4"/>
      <c r="G82" s="4"/>
      <c r="H82" s="4"/>
      <c r="I82" s="4"/>
      <c r="J82" s="3">
        <v>715295</v>
      </c>
      <c r="K82" s="3">
        <v>1387795</v>
      </c>
      <c r="L82" s="3">
        <v>77069258</v>
      </c>
      <c r="M82" s="3">
        <v>149169843</v>
      </c>
      <c r="N82" s="3">
        <v>991242</v>
      </c>
      <c r="O82" s="3">
        <v>1612293</v>
      </c>
      <c r="P82" s="3">
        <v>78775795</v>
      </c>
      <c r="Q82" s="5">
        <v>152169931</v>
      </c>
    </row>
    <row r="83" spans="1:17" ht="40.5" x14ac:dyDescent="0.6">
      <c r="A83" s="20" t="s">
        <v>94</v>
      </c>
      <c r="B83" s="6"/>
      <c r="C83" s="6"/>
      <c r="D83" s="6"/>
      <c r="E83" s="6"/>
      <c r="F83" s="6"/>
      <c r="G83" s="6"/>
      <c r="H83" s="6"/>
      <c r="I83" s="6"/>
      <c r="J83" s="6">
        <v>70</v>
      </c>
      <c r="K83" s="6">
        <v>70</v>
      </c>
      <c r="L83" s="6">
        <v>0</v>
      </c>
      <c r="M83" s="6">
        <v>0</v>
      </c>
      <c r="N83" s="7">
        <v>-1295</v>
      </c>
      <c r="O83" s="7">
        <v>-1313</v>
      </c>
      <c r="P83" s="7">
        <v>-1225</v>
      </c>
      <c r="Q83" s="8">
        <v>-1243</v>
      </c>
    </row>
    <row r="84" spans="1:17" x14ac:dyDescent="0.6">
      <c r="A84" s="12"/>
    </row>
    <row r="85" spans="1:17" ht="40.5" x14ac:dyDescent="0.6">
      <c r="A85" s="13" t="s">
        <v>95</v>
      </c>
    </row>
    <row r="86" spans="1:17" x14ac:dyDescent="0.6">
      <c r="A86" s="12"/>
    </row>
    <row r="87" spans="1:17" ht="27" customHeight="1" x14ac:dyDescent="0.6">
      <c r="A87" s="15" t="s">
        <v>95</v>
      </c>
      <c r="B87" s="15"/>
    </row>
    <row r="88" spans="1:17" ht="27" x14ac:dyDescent="0.6">
      <c r="A88" s="12" t="s">
        <v>41</v>
      </c>
      <c r="B88" s="14" t="s">
        <v>42</v>
      </c>
    </row>
    <row r="89" spans="1:17" x14ac:dyDescent="0.6">
      <c r="A89" s="16"/>
      <c r="B89" s="21" t="s">
        <v>43</v>
      </c>
      <c r="C89" s="22"/>
      <c r="D89" s="22"/>
      <c r="E89" s="22"/>
      <c r="F89" s="22"/>
      <c r="G89" s="22"/>
      <c r="H89" s="22"/>
      <c r="I89" s="23"/>
    </row>
    <row r="90" spans="1:17" x14ac:dyDescent="0.6">
      <c r="A90" s="17"/>
      <c r="B90" s="24" t="s">
        <v>78</v>
      </c>
      <c r="C90" s="25"/>
      <c r="D90" s="25"/>
      <c r="E90" s="25"/>
      <c r="F90" s="25"/>
      <c r="G90" s="25"/>
      <c r="H90" s="25"/>
      <c r="I90" s="26"/>
    </row>
    <row r="91" spans="1:17" ht="50.65" customHeight="1" x14ac:dyDescent="0.6">
      <c r="A91" s="17"/>
      <c r="B91" s="24" t="s">
        <v>49</v>
      </c>
      <c r="C91" s="25"/>
      <c r="D91" s="25"/>
      <c r="E91" s="25"/>
      <c r="F91" s="25"/>
      <c r="G91" s="27"/>
      <c r="H91" s="28" t="s">
        <v>79</v>
      </c>
      <c r="I91" s="29"/>
    </row>
    <row r="92" spans="1:17" x14ac:dyDescent="0.6">
      <c r="A92" s="17"/>
      <c r="B92" s="24" t="s">
        <v>0</v>
      </c>
      <c r="C92" s="27"/>
      <c r="D92" s="24" t="s">
        <v>2</v>
      </c>
      <c r="E92" s="27"/>
      <c r="F92" s="24" t="s">
        <v>1</v>
      </c>
      <c r="G92" s="27"/>
      <c r="H92" s="32"/>
      <c r="I92" s="33"/>
    </row>
    <row r="93" spans="1:17" ht="40.5" x14ac:dyDescent="0.6">
      <c r="A93" s="17"/>
      <c r="B93" s="1" t="s">
        <v>50</v>
      </c>
      <c r="C93" s="1" t="s">
        <v>51</v>
      </c>
      <c r="D93" s="1" t="s">
        <v>50</v>
      </c>
      <c r="E93" s="1" t="s">
        <v>51</v>
      </c>
      <c r="F93" s="1" t="s">
        <v>50</v>
      </c>
      <c r="G93" s="1" t="s">
        <v>51</v>
      </c>
      <c r="H93" s="1" t="s">
        <v>50</v>
      </c>
      <c r="I93" s="18" t="s">
        <v>51</v>
      </c>
    </row>
    <row r="94" spans="1:17" ht="67.5" x14ac:dyDescent="0.6">
      <c r="A94" s="19" t="s">
        <v>96</v>
      </c>
      <c r="B94" s="3">
        <v>11335933</v>
      </c>
      <c r="C94" s="3">
        <v>23800396</v>
      </c>
      <c r="D94" s="3">
        <v>80470190</v>
      </c>
      <c r="E94" s="3">
        <v>116223447</v>
      </c>
      <c r="F94" s="3">
        <v>305934</v>
      </c>
      <c r="G94" s="3">
        <v>142684</v>
      </c>
      <c r="H94" s="3">
        <v>92112057</v>
      </c>
      <c r="I94" s="5">
        <v>140166527</v>
      </c>
    </row>
    <row r="95" spans="1:17" ht="81" x14ac:dyDescent="0.6">
      <c r="A95" s="20" t="s">
        <v>97</v>
      </c>
      <c r="B95" s="7">
        <v>10861305</v>
      </c>
      <c r="C95" s="7">
        <v>22297721</v>
      </c>
      <c r="D95" s="7">
        <v>77069258</v>
      </c>
      <c r="E95" s="7">
        <v>149169843</v>
      </c>
      <c r="F95" s="7">
        <v>989947</v>
      </c>
      <c r="G95" s="7">
        <v>1610980</v>
      </c>
      <c r="H95" s="7">
        <v>88920510</v>
      </c>
      <c r="I95" s="8">
        <v>173078544</v>
      </c>
    </row>
    <row r="96" spans="1:17" x14ac:dyDescent="0.6">
      <c r="A96" s="12"/>
    </row>
    <row r="97" spans="1:1" x14ac:dyDescent="0.6">
      <c r="A97" s="12"/>
    </row>
  </sheetData>
  <mergeCells count="68">
    <mergeCell ref="B89:I89"/>
    <mergeCell ref="B90:I90"/>
    <mergeCell ref="B91:G91"/>
    <mergeCell ref="H91:I92"/>
    <mergeCell ref="B92:C92"/>
    <mergeCell ref="D92:E92"/>
    <mergeCell ref="F92:G92"/>
    <mergeCell ref="A87:B87"/>
    <mergeCell ref="B73:G73"/>
    <mergeCell ref="H73:I74"/>
    <mergeCell ref="J73:O73"/>
    <mergeCell ref="P73:Q74"/>
    <mergeCell ref="B74:C74"/>
    <mergeCell ref="D74:E74"/>
    <mergeCell ref="F74:G74"/>
    <mergeCell ref="J74:K74"/>
    <mergeCell ref="L74:M74"/>
    <mergeCell ref="N74:O74"/>
    <mergeCell ref="A67:B67"/>
    <mergeCell ref="B69:Q69"/>
    <mergeCell ref="B70:Q70"/>
    <mergeCell ref="B71:Q71"/>
    <mergeCell ref="B72:I72"/>
    <mergeCell ref="J72:Q72"/>
    <mergeCell ref="L58:M58"/>
    <mergeCell ref="N58:O58"/>
    <mergeCell ref="B56:I56"/>
    <mergeCell ref="J56:Q56"/>
    <mergeCell ref="B57:G57"/>
    <mergeCell ref="H57:I58"/>
    <mergeCell ref="J57:O57"/>
    <mergeCell ref="P57:Q58"/>
    <mergeCell ref="B58:C58"/>
    <mergeCell ref="D58:E58"/>
    <mergeCell ref="F58:G58"/>
    <mergeCell ref="J58:K58"/>
    <mergeCell ref="A51:B51"/>
    <mergeCell ref="B53:Q53"/>
    <mergeCell ref="B54:Q54"/>
    <mergeCell ref="B55:Q55"/>
    <mergeCell ref="D33:E33"/>
    <mergeCell ref="F33:G33"/>
    <mergeCell ref="H33:I33"/>
    <mergeCell ref="J33:K33"/>
    <mergeCell ref="L33:M33"/>
    <mergeCell ref="A26:B26"/>
    <mergeCell ref="B28:O28"/>
    <mergeCell ref="B29:O29"/>
    <mergeCell ref="B30:M30"/>
    <mergeCell ref="N30:O33"/>
    <mergeCell ref="B31:G31"/>
    <mergeCell ref="H31:M31"/>
    <mergeCell ref="B32:M32"/>
    <mergeCell ref="B33:C33"/>
    <mergeCell ref="F12:G12"/>
    <mergeCell ref="H12:I12"/>
    <mergeCell ref="J12:K12"/>
    <mergeCell ref="L12:M12"/>
    <mergeCell ref="A5:B5"/>
    <mergeCell ref="B7:O7"/>
    <mergeCell ref="B8:O8"/>
    <mergeCell ref="B9:M9"/>
    <mergeCell ref="N9:O12"/>
    <mergeCell ref="B10:G10"/>
    <mergeCell ref="H10:M10"/>
    <mergeCell ref="B11:M11"/>
    <mergeCell ref="B12:C12"/>
    <mergeCell ref="D12:E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보험손익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2026-06-01T12:02:49Z</dcterms:created>
  <dcterms:modified xsi:type="dcterms:W3CDTF">2026-06-06T07:56:58Z</dcterms:modified>
</cp:coreProperties>
</file>