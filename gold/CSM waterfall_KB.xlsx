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0E697B85-CEA1-4139-A9C7-667607AAE0A2}" xr6:coauthVersionLast="47" xr6:coauthVersionMax="47" xr10:uidLastSave="{00000000-0000-0000-0000-000000000000}"/>
  <bookViews>
    <workbookView xWindow="-98" yWindow="-98" windowWidth="21795" windowHeight="13335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7" i="1" l="1"/>
  <c r="G54" i="1"/>
  <c r="H54" i="1" s="1"/>
  <c r="H47" i="1"/>
  <c r="H4" i="2"/>
  <c r="H7" i="2"/>
  <c r="H6" i="2"/>
  <c r="H3" i="2"/>
  <c r="H2" i="2"/>
  <c r="H5" i="2" l="1"/>
</calcChain>
</file>

<file path=xl/sharedStrings.xml><?xml version="1.0" encoding="utf-8"?>
<sst xmlns="http://schemas.openxmlformats.org/spreadsheetml/2006/main" count="136" uniqueCount="50">
  <si>
    <t>-</t>
  </si>
  <si>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</si>
  <si>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</si>
  <si>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</si>
  <si>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</si>
  <si>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</si>
  <si>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</si>
  <si>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</si>
  <si>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</si>
  <si>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</si>
  <si>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</si>
  <si>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</si>
  <si>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</si>
  <si>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</si>
  <si>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</si>
  <si>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</si>
  <si>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&lt;당기&gt;</t>
  </si>
  <si>
    <t>미래 현금흐름의</t>
  </si>
  <si>
    <t>현재가치 추정치</t>
  </si>
  <si>
    <t>비금융위험에 대한</t>
  </si>
  <si>
    <t>위험조정</t>
  </si>
  <si>
    <t>보험계약마진</t>
  </si>
  <si>
    <t>기초 순장부금액</t>
  </si>
  <si>
    <t>미래서비스관련 변동</t>
  </si>
  <si>
    <t>당기서비스관련 변동</t>
  </si>
  <si>
    <t>과거서비스관련 변동</t>
  </si>
  <si>
    <t>보험서비스결과</t>
  </si>
  <si>
    <t>현금흐름</t>
  </si>
  <si>
    <t>기말 순장부금액</t>
  </si>
  <si>
    <t>가정 및 경험 조정 등</t>
    <phoneticPr fontId="2" type="noConversion"/>
  </si>
  <si>
    <t>(5) 보험료배분접근법을 적용하지 않는 순보험계약부채 및 순재보험계약자산의 구성요소별 변동내역</t>
  </si>
  <si>
    <t>1-1) 당기와 전기의 보험료배분접근법을 적용하지 않는 배당요소가 있는 순보험계약부채의 구성요소별 변동내역은 다음과 같습니다(단위:백만원).</t>
  </si>
  <si>
    <t>구분</t>
  </si>
  <si>
    <t>합계</t>
  </si>
  <si>
    <t> 보험계약마진을 조정하는 추정치 변동</t>
  </si>
  <si>
    <t> 손실부담계약의 손실 및 환입</t>
  </si>
  <si>
    <t> 신계약 인식효과</t>
  </si>
  <si>
    <t> 보험계약마진 상각</t>
  </si>
  <si>
    <t> 위험해제에 따른 위험조정 변동</t>
  </si>
  <si>
    <t> 경험조정</t>
  </si>
  <si>
    <t> 발생사고의 이행현금흐름 변동</t>
  </si>
  <si>
    <t>보험금융손익</t>
  </si>
  <si>
    <t> 수취한 보험료</t>
  </si>
  <si>
    <t> 보험취득현금흐름</t>
  </si>
  <si>
    <t> 지급한 보험금 및 보험서비스비용</t>
  </si>
  <si>
    <t>총 현금흐름</t>
  </si>
  <si>
    <t>기타 항목</t>
  </si>
  <si>
    <t>1-2) 당기와 전기의 보험료배분접근법을 적용하지 않는 배당요소가 없는 순보험계약부채의 구성요소별 변동내역은 다음과 같습니다(단위:백만원).</t>
  </si>
  <si>
    <t>KR0010</t>
    <phoneticPr fontId="2" type="noConversion"/>
  </si>
  <si>
    <t>KB손해보험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</si>
</sst>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 wrapText="1"/>
    </xf>
    <xf numFmtId="3" fontId="1" fillId="0" borderId="9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 wrapText="1"/>
    </xf>
    <xf numFmtId="3" fontId="1" fillId="0" borderId="11" xfId="0" applyNumberFormat="1" applyFont="1" applyBorder="1" applyAlignment="1">
      <alignment horizontal="right" vertical="center" wrapText="1"/>
    </xf>
    <xf numFmtId="3" fontId="1" fillId="0" borderId="12" xfId="0" applyNumberFormat="1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18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/>
    </row>
    <row r="2" spans="1:10" x14ac:dyDescent="0.6">
      <c r="A2" s="2" t="s">
        <v>48</v>
      </c>
      <c r="B2" s="2" t="s">
        <v>49</v>
      </c>
      <c r="C2" s="2"/>
      <c r="D2" s="2" t="s">
        <v>9</v>
      </c>
      <c r="E2" s="2">
        <v>1</v>
      </c>
      <c r="F2" s="2" t="s">
        <v>11</v>
      </c>
      <c r="G2" s="2" t="s">
        <v>10</v>
      </c>
      <c r="H2" s="1">
        <f>부문별!D8+부문별!D35</f>
        <v>8820482</v>
      </c>
      <c r="J2" s="1"/>
    </row>
    <row r="3" spans="1:10" x14ac:dyDescent="0.6">
      <c r="A3" s="2" t="s">
        <v>48</v>
      </c>
      <c r="B3" s="2" t="s">
        <v>49</v>
      </c>
      <c r="C3" s="2"/>
      <c r="D3" s="2" t="s">
        <v>9</v>
      </c>
      <c r="E3" s="2">
        <v>2</v>
      </c>
      <c r="F3" s="2" t="s">
        <v>12</v>
      </c>
      <c r="G3" s="2" t="s">
        <v>10</v>
      </c>
      <c r="H3" s="1">
        <f>부문별!D12+부문별!D39</f>
        <v>1741856</v>
      </c>
      <c r="J3" s="1"/>
    </row>
    <row r="4" spans="1:10" x14ac:dyDescent="0.6">
      <c r="A4" s="2" t="s">
        <v>48</v>
      </c>
      <c r="B4" s="2" t="s">
        <v>49</v>
      </c>
      <c r="C4" s="2"/>
      <c r="D4" s="2" t="s">
        <v>9</v>
      </c>
      <c r="E4">
        <v>3</v>
      </c>
      <c r="F4" s="2" t="s">
        <v>13</v>
      </c>
      <c r="G4" t="s">
        <v>10</v>
      </c>
      <c r="H4" s="1">
        <f>부문별!D20+부문별!D47</f>
        <v>332048</v>
      </c>
      <c r="J4" s="1"/>
    </row>
    <row r="5" spans="1:10" x14ac:dyDescent="0.6">
      <c r="A5" s="2" t="s">
        <v>48</v>
      </c>
      <c r="B5" s="2" t="s">
        <v>49</v>
      </c>
      <c r="C5" s="2"/>
      <c r="D5" s="2" t="s">
        <v>9</v>
      </c>
      <c r="E5" s="2">
        <v>4</v>
      </c>
      <c r="F5" s="2" t="s">
        <v>29</v>
      </c>
      <c r="G5" t="s">
        <v>10</v>
      </c>
      <c r="H5" s="1">
        <f>H7-(SUM(H2:H4)+H6)</f>
        <v>-755917</v>
      </c>
      <c r="J5" s="1"/>
    </row>
    <row r="6" spans="1:10" x14ac:dyDescent="0.6">
      <c r="A6" s="2" t="s">
        <v>48</v>
      </c>
      <c r="B6" s="2" t="s">
        <v>49</v>
      </c>
      <c r="C6" s="2"/>
      <c r="D6" s="2" t="s">
        <v>9</v>
      </c>
      <c r="E6" s="2">
        <v>5</v>
      </c>
      <c r="F6" s="2" t="s">
        <v>14</v>
      </c>
      <c r="G6" t="s">
        <v>10</v>
      </c>
      <c r="H6" s="1">
        <f>부문별!D14+부문별!D41</f>
        <v>-853436</v>
      </c>
      <c r="J6" s="1"/>
    </row>
    <row r="7" spans="1:10" x14ac:dyDescent="0.6">
      <c r="A7" s="2" t="s">
        <v>48</v>
      </c>
      <c r="B7" s="2" t="s">
        <v>49</v>
      </c>
      <c r="C7" s="2"/>
      <c r="D7" s="2" t="s">
        <v>9</v>
      </c>
      <c r="E7" s="2">
        <v>6</v>
      </c>
      <c r="F7" s="2" t="s">
        <v>15</v>
      </c>
      <c r="G7" t="s">
        <v>10</v>
      </c>
      <c r="H7" s="1">
        <f>부문별!D27+부문별!D54</f>
        <v>9285033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H54"/>
  <sheetViews>
    <sheetView workbookViewId="0">
      <pane xSplit="1" ySplit="8" topLeftCell="B42" activePane="bottomRight" state="frozen"/>
      <selection pane="topRight" activeCell="B1" sqref="B1"/>
      <selection pane="bottomLeft" activeCell="A9" sqref="A9"/>
      <selection pane="bottomRight" activeCell="G54" sqref="G54"/>
    </sheetView>
  </sheetViews>
  <sheetFormatPr defaultRowHeight="16.899999999999999" x14ac:dyDescent="0.6"/>
  <cols>
    <col min="1" max="1" width="40.875" bestFit="1" customWidth="1"/>
    <col min="2" max="2" width="9.8125" bestFit="1" customWidth="1"/>
    <col min="3" max="3" width="8.125" bestFit="1" customWidth="1"/>
    <col min="4" max="4" width="9.8125" bestFit="1" customWidth="1"/>
    <col min="5" max="5" width="7.125" bestFit="1" customWidth="1"/>
    <col min="7" max="7" width="9.75" bestFit="1" customWidth="1"/>
  </cols>
  <sheetData>
    <row r="1" spans="1:7" x14ac:dyDescent="0.6">
      <c r="A1" s="18" t="s">
        <v>30</v>
      </c>
    </row>
    <row r="2" spans="1:7" x14ac:dyDescent="0.6">
      <c r="A2" s="17"/>
    </row>
    <row r="3" spans="1:7" x14ac:dyDescent="0.6">
      <c r="A3" s="18" t="s">
        <v>31</v>
      </c>
    </row>
    <row r="4" spans="1:7" x14ac:dyDescent="0.6">
      <c r="A4" s="17"/>
    </row>
    <row r="5" spans="1:7" x14ac:dyDescent="0.6">
      <c r="A5" s="18" t="s">
        <v>16</v>
      </c>
    </row>
    <row r="6" spans="1:7" ht="40.5" x14ac:dyDescent="0.6">
      <c r="A6" s="15" t="s">
        <v>32</v>
      </c>
      <c r="B6" s="6" t="s">
        <v>17</v>
      </c>
      <c r="C6" s="6" t="s">
        <v>19</v>
      </c>
      <c r="D6" s="21" t="s">
        <v>21</v>
      </c>
      <c r="E6" s="13" t="s">
        <v>33</v>
      </c>
    </row>
    <row r="7" spans="1:7" ht="27" x14ac:dyDescent="0.6">
      <c r="A7" s="16"/>
      <c r="B7" s="3" t="s">
        <v>18</v>
      </c>
      <c r="C7" s="3" t="s">
        <v>20</v>
      </c>
      <c r="D7" s="22"/>
      <c r="E7" s="14"/>
    </row>
    <row r="8" spans="1:7" x14ac:dyDescent="0.6">
      <c r="A8" s="7" t="s">
        <v>22</v>
      </c>
      <c r="B8" s="5">
        <v>3640390</v>
      </c>
      <c r="C8" s="5">
        <v>1409</v>
      </c>
      <c r="D8" s="5">
        <v>7540</v>
      </c>
      <c r="E8" s="9">
        <v>3649339</v>
      </c>
    </row>
    <row r="9" spans="1:7" x14ac:dyDescent="0.6">
      <c r="A9" s="7" t="s">
        <v>23</v>
      </c>
      <c r="B9" s="19"/>
      <c r="C9" s="19"/>
      <c r="D9" s="19"/>
      <c r="E9" s="20"/>
    </row>
    <row r="10" spans="1:7" x14ac:dyDescent="0.6">
      <c r="A10" s="7" t="s">
        <v>34</v>
      </c>
      <c r="B10" s="4">
        <v>-553</v>
      </c>
      <c r="C10" s="4">
        <v>5</v>
      </c>
      <c r="D10" s="4">
        <v>548</v>
      </c>
      <c r="E10" s="8" t="s">
        <v>0</v>
      </c>
      <c r="G10" s="1"/>
    </row>
    <row r="11" spans="1:7" x14ac:dyDescent="0.6">
      <c r="A11" s="7" t="s">
        <v>35</v>
      </c>
      <c r="B11" s="5">
        <v>1025</v>
      </c>
      <c r="C11" s="4" t="s">
        <v>0</v>
      </c>
      <c r="D11" s="4" t="s">
        <v>0</v>
      </c>
      <c r="E11" s="9">
        <v>1025</v>
      </c>
    </row>
    <row r="12" spans="1:7" x14ac:dyDescent="0.6">
      <c r="A12" s="7" t="s">
        <v>36</v>
      </c>
      <c r="B12" s="4">
        <v>-76</v>
      </c>
      <c r="C12" s="4">
        <v>32</v>
      </c>
      <c r="D12" s="4">
        <v>79</v>
      </c>
      <c r="E12" s="8">
        <v>35</v>
      </c>
    </row>
    <row r="13" spans="1:7" x14ac:dyDescent="0.6">
      <c r="A13" s="7" t="s">
        <v>24</v>
      </c>
      <c r="B13" s="19"/>
      <c r="C13" s="19"/>
      <c r="D13" s="19"/>
      <c r="E13" s="20"/>
    </row>
    <row r="14" spans="1:7" x14ac:dyDescent="0.6">
      <c r="A14" s="7" t="s">
        <v>37</v>
      </c>
      <c r="B14" s="4" t="s">
        <v>0</v>
      </c>
      <c r="C14" s="4" t="s">
        <v>0</v>
      </c>
      <c r="D14" s="4">
        <v>-528</v>
      </c>
      <c r="E14" s="8">
        <v>-528</v>
      </c>
    </row>
    <row r="15" spans="1:7" x14ac:dyDescent="0.6">
      <c r="A15" s="7" t="s">
        <v>38</v>
      </c>
      <c r="B15" s="4" t="s">
        <v>0</v>
      </c>
      <c r="C15" s="4">
        <v>-67</v>
      </c>
      <c r="D15" s="4" t="s">
        <v>0</v>
      </c>
      <c r="E15" s="8">
        <v>-67</v>
      </c>
    </row>
    <row r="16" spans="1:7" x14ac:dyDescent="0.6">
      <c r="A16" s="7" t="s">
        <v>39</v>
      </c>
      <c r="B16" s="5">
        <v>1231</v>
      </c>
      <c r="C16" s="4" t="s">
        <v>0</v>
      </c>
      <c r="D16" s="4" t="s">
        <v>0</v>
      </c>
      <c r="E16" s="9">
        <v>1231</v>
      </c>
    </row>
    <row r="17" spans="1:7" x14ac:dyDescent="0.6">
      <c r="A17" s="7" t="s">
        <v>25</v>
      </c>
      <c r="B17" s="19"/>
      <c r="C17" s="19"/>
      <c r="D17" s="19"/>
      <c r="E17" s="20"/>
    </row>
    <row r="18" spans="1:7" x14ac:dyDescent="0.6">
      <c r="A18" s="7" t="s">
        <v>40</v>
      </c>
      <c r="B18" s="4">
        <v>-105</v>
      </c>
      <c r="C18" s="4">
        <v>-7</v>
      </c>
      <c r="D18" s="4" t="s">
        <v>0</v>
      </c>
      <c r="E18" s="8">
        <v>-112</v>
      </c>
    </row>
    <row r="19" spans="1:7" x14ac:dyDescent="0.6">
      <c r="A19" s="7" t="s">
        <v>26</v>
      </c>
      <c r="B19" s="5">
        <v>1522</v>
      </c>
      <c r="C19" s="4">
        <v>-37</v>
      </c>
      <c r="D19" s="4">
        <v>99</v>
      </c>
      <c r="E19" s="9">
        <v>1584</v>
      </c>
    </row>
    <row r="20" spans="1:7" x14ac:dyDescent="0.6">
      <c r="A20" s="7" t="s">
        <v>41</v>
      </c>
      <c r="B20" s="5">
        <v>74210</v>
      </c>
      <c r="C20" s="4">
        <v>-139</v>
      </c>
      <c r="D20" s="4">
        <v>197</v>
      </c>
      <c r="E20" s="9">
        <v>74268</v>
      </c>
      <c r="G20" s="1"/>
    </row>
    <row r="21" spans="1:7" x14ac:dyDescent="0.6">
      <c r="A21" s="7" t="s">
        <v>27</v>
      </c>
      <c r="B21" s="19"/>
      <c r="C21" s="19"/>
      <c r="D21" s="19"/>
      <c r="E21" s="20"/>
    </row>
    <row r="22" spans="1:7" x14ac:dyDescent="0.6">
      <c r="A22" s="7" t="s">
        <v>42</v>
      </c>
      <c r="B22" s="5">
        <v>93155</v>
      </c>
      <c r="C22" s="4" t="s">
        <v>0</v>
      </c>
      <c r="D22" s="4" t="s">
        <v>0</v>
      </c>
      <c r="E22" s="9">
        <v>93155</v>
      </c>
    </row>
    <row r="23" spans="1:7" x14ac:dyDescent="0.6">
      <c r="A23" s="7" t="s">
        <v>43</v>
      </c>
      <c r="B23" s="4">
        <v>-546</v>
      </c>
      <c r="C23" s="4" t="s">
        <v>0</v>
      </c>
      <c r="D23" s="4" t="s">
        <v>0</v>
      </c>
      <c r="E23" s="8">
        <v>-546</v>
      </c>
    </row>
    <row r="24" spans="1:7" x14ac:dyDescent="0.6">
      <c r="A24" s="7" t="s">
        <v>44</v>
      </c>
      <c r="B24" s="5">
        <v>-316415</v>
      </c>
      <c r="C24" s="4" t="s">
        <v>0</v>
      </c>
      <c r="D24" s="4" t="s">
        <v>0</v>
      </c>
      <c r="E24" s="9">
        <v>-316415</v>
      </c>
    </row>
    <row r="25" spans="1:7" x14ac:dyDescent="0.6">
      <c r="A25" s="7" t="s">
        <v>45</v>
      </c>
      <c r="B25" s="5">
        <v>-223806</v>
      </c>
      <c r="C25" s="4" t="s">
        <v>0</v>
      </c>
      <c r="D25" s="4" t="s">
        <v>0</v>
      </c>
      <c r="E25" s="9">
        <v>-223806</v>
      </c>
    </row>
    <row r="26" spans="1:7" x14ac:dyDescent="0.6">
      <c r="A26" s="7" t="s">
        <v>46</v>
      </c>
      <c r="B26" s="4">
        <v>-1</v>
      </c>
      <c r="C26" s="4" t="s">
        <v>0</v>
      </c>
      <c r="D26" s="4" t="s">
        <v>0</v>
      </c>
      <c r="E26" s="8">
        <v>-1</v>
      </c>
    </row>
    <row r="27" spans="1:7" x14ac:dyDescent="0.6">
      <c r="A27" s="10" t="s">
        <v>28</v>
      </c>
      <c r="B27" s="11">
        <v>3492315</v>
      </c>
      <c r="C27" s="11">
        <v>1233</v>
      </c>
      <c r="D27" s="11">
        <v>7836</v>
      </c>
      <c r="E27" s="12">
        <v>3501384</v>
      </c>
      <c r="G27" s="1">
        <f>SUM(D8:D18)+D20</f>
        <v>7836</v>
      </c>
    </row>
    <row r="29" spans="1:7" x14ac:dyDescent="0.6">
      <c r="A29" s="18" t="s">
        <v>47</v>
      </c>
    </row>
    <row r="30" spans="1:7" x14ac:dyDescent="0.6">
      <c r="A30" s="17"/>
    </row>
    <row r="31" spans="1:7" x14ac:dyDescent="0.6">
      <c r="A31" s="18" t="s">
        <v>16</v>
      </c>
    </row>
    <row r="33" spans="1:8" ht="40.5" x14ac:dyDescent="0.6">
      <c r="A33" s="15" t="s">
        <v>32</v>
      </c>
      <c r="B33" s="6" t="s">
        <v>17</v>
      </c>
      <c r="C33" s="6" t="s">
        <v>19</v>
      </c>
      <c r="D33" s="21" t="s">
        <v>21</v>
      </c>
      <c r="E33" s="13" t="s">
        <v>33</v>
      </c>
    </row>
    <row r="34" spans="1:8" ht="27" x14ac:dyDescent="0.6">
      <c r="A34" s="16"/>
      <c r="B34" s="3" t="s">
        <v>18</v>
      </c>
      <c r="C34" s="3" t="s">
        <v>20</v>
      </c>
      <c r="D34" s="22"/>
      <c r="E34" s="14"/>
    </row>
    <row r="35" spans="1:8" x14ac:dyDescent="0.6">
      <c r="A35" s="7" t="s">
        <v>22</v>
      </c>
      <c r="B35" s="5">
        <v>8654758</v>
      </c>
      <c r="C35" s="5">
        <v>1455733</v>
      </c>
      <c r="D35" s="5">
        <v>8812942</v>
      </c>
      <c r="E35" s="9">
        <v>18923433</v>
      </c>
    </row>
    <row r="36" spans="1:8" x14ac:dyDescent="0.6">
      <c r="A36" s="7" t="s">
        <v>23</v>
      </c>
      <c r="B36" s="19"/>
      <c r="C36" s="19"/>
      <c r="D36" s="19"/>
      <c r="E36" s="20"/>
    </row>
    <row r="37" spans="1:8" x14ac:dyDescent="0.6">
      <c r="A37" s="7" t="s">
        <v>34</v>
      </c>
      <c r="B37" s="5">
        <v>771724</v>
      </c>
      <c r="C37" s="5">
        <v>-15259</v>
      </c>
      <c r="D37" s="5">
        <v>-756465</v>
      </c>
      <c r="E37" s="8" t="s">
        <v>0</v>
      </c>
    </row>
    <row r="38" spans="1:8" x14ac:dyDescent="0.6">
      <c r="A38" s="7" t="s">
        <v>35</v>
      </c>
      <c r="B38" s="5">
        <v>9094</v>
      </c>
      <c r="C38" s="5">
        <v>1597</v>
      </c>
      <c r="D38" s="4" t="s">
        <v>0</v>
      </c>
      <c r="E38" s="9">
        <v>10691</v>
      </c>
    </row>
    <row r="39" spans="1:8" x14ac:dyDescent="0.6">
      <c r="A39" s="7" t="s">
        <v>36</v>
      </c>
      <c r="B39" s="5">
        <v>-1952507</v>
      </c>
      <c r="C39" s="5">
        <v>247246</v>
      </c>
      <c r="D39" s="5">
        <v>1741777</v>
      </c>
      <c r="E39" s="9">
        <v>36516</v>
      </c>
    </row>
    <row r="40" spans="1:8" x14ac:dyDescent="0.6">
      <c r="A40" s="7" t="s">
        <v>24</v>
      </c>
      <c r="B40" s="19"/>
      <c r="C40" s="19"/>
      <c r="D40" s="19"/>
      <c r="E40" s="20"/>
    </row>
    <row r="41" spans="1:8" x14ac:dyDescent="0.6">
      <c r="A41" s="7" t="s">
        <v>37</v>
      </c>
      <c r="B41" s="4" t="s">
        <v>0</v>
      </c>
      <c r="C41" s="4" t="s">
        <v>0</v>
      </c>
      <c r="D41" s="5">
        <v>-852908</v>
      </c>
      <c r="E41" s="9">
        <v>-852908</v>
      </c>
    </row>
    <row r="42" spans="1:8" x14ac:dyDescent="0.6">
      <c r="A42" s="7" t="s">
        <v>38</v>
      </c>
      <c r="B42" s="4" t="s">
        <v>0</v>
      </c>
      <c r="C42" s="5">
        <v>-184202</v>
      </c>
      <c r="D42" s="4" t="s">
        <v>0</v>
      </c>
      <c r="E42" s="9">
        <v>-184202</v>
      </c>
    </row>
    <row r="43" spans="1:8" x14ac:dyDescent="0.6">
      <c r="A43" s="7" t="s">
        <v>39</v>
      </c>
      <c r="B43" s="5">
        <v>260680</v>
      </c>
      <c r="C43" s="4" t="s">
        <v>0</v>
      </c>
      <c r="D43" s="4" t="s">
        <v>0</v>
      </c>
      <c r="E43" s="9">
        <v>260680</v>
      </c>
    </row>
    <row r="44" spans="1:8" x14ac:dyDescent="0.6">
      <c r="A44" s="7" t="s">
        <v>25</v>
      </c>
      <c r="B44" s="19"/>
      <c r="C44" s="19"/>
      <c r="D44" s="19"/>
      <c r="E44" s="20"/>
    </row>
    <row r="45" spans="1:8" x14ac:dyDescent="0.6">
      <c r="A45" s="7" t="s">
        <v>40</v>
      </c>
      <c r="B45" s="5">
        <v>-68001</v>
      </c>
      <c r="C45" s="5">
        <v>-19548</v>
      </c>
      <c r="D45" s="4" t="s">
        <v>0</v>
      </c>
      <c r="E45" s="9">
        <v>-87549</v>
      </c>
    </row>
    <row r="46" spans="1:8" x14ac:dyDescent="0.6">
      <c r="A46" s="7" t="s">
        <v>26</v>
      </c>
      <c r="B46" s="5">
        <v>-979010</v>
      </c>
      <c r="C46" s="5">
        <v>29834</v>
      </c>
      <c r="D46" s="5">
        <v>132404</v>
      </c>
      <c r="E46" s="9">
        <v>-816772</v>
      </c>
    </row>
    <row r="47" spans="1:8" x14ac:dyDescent="0.6">
      <c r="A47" s="7" t="s">
        <v>41</v>
      </c>
      <c r="B47" s="5">
        <v>-456963</v>
      </c>
      <c r="C47" s="5">
        <v>1704</v>
      </c>
      <c r="D47" s="5">
        <v>331851</v>
      </c>
      <c r="E47" s="9">
        <v>-123408</v>
      </c>
      <c r="H47" s="1">
        <f>D47-D46</f>
        <v>199447</v>
      </c>
    </row>
    <row r="48" spans="1:8" x14ac:dyDescent="0.6">
      <c r="A48" s="7" t="s">
        <v>27</v>
      </c>
      <c r="B48" s="19"/>
      <c r="C48" s="19"/>
      <c r="D48" s="19"/>
      <c r="E48" s="20"/>
    </row>
    <row r="49" spans="1:8" x14ac:dyDescent="0.6">
      <c r="A49" s="7" t="s">
        <v>42</v>
      </c>
      <c r="B49" s="5">
        <v>9909937</v>
      </c>
      <c r="C49" s="4" t="s">
        <v>0</v>
      </c>
      <c r="D49" s="4" t="s">
        <v>0</v>
      </c>
      <c r="E49" s="9">
        <v>9909937</v>
      </c>
    </row>
    <row r="50" spans="1:8" x14ac:dyDescent="0.6">
      <c r="A50" s="7" t="s">
        <v>43</v>
      </c>
      <c r="B50" s="5">
        <v>-2353888</v>
      </c>
      <c r="C50" s="4" t="s">
        <v>0</v>
      </c>
      <c r="D50" s="4" t="s">
        <v>0</v>
      </c>
      <c r="E50" s="9">
        <v>-2353888</v>
      </c>
    </row>
    <row r="51" spans="1:8" x14ac:dyDescent="0.6">
      <c r="A51" s="7" t="s">
        <v>44</v>
      </c>
      <c r="B51" s="5">
        <v>-6852766</v>
      </c>
      <c r="C51" s="4" t="s">
        <v>0</v>
      </c>
      <c r="D51" s="4" t="s">
        <v>0</v>
      </c>
      <c r="E51" s="9">
        <v>-6852766</v>
      </c>
    </row>
    <row r="52" spans="1:8" x14ac:dyDescent="0.6">
      <c r="A52" s="7" t="s">
        <v>45</v>
      </c>
      <c r="B52" s="5">
        <v>703283</v>
      </c>
      <c r="C52" s="4" t="s">
        <v>0</v>
      </c>
      <c r="D52" s="4" t="s">
        <v>0</v>
      </c>
      <c r="E52" s="9">
        <v>703283</v>
      </c>
    </row>
    <row r="53" spans="1:8" x14ac:dyDescent="0.6">
      <c r="A53" s="7" t="s">
        <v>46</v>
      </c>
      <c r="B53" s="4">
        <v>126</v>
      </c>
      <c r="C53" s="4" t="s">
        <v>0</v>
      </c>
      <c r="D53" s="4" t="s">
        <v>0</v>
      </c>
      <c r="E53" s="8">
        <v>126</v>
      </c>
    </row>
    <row r="54" spans="1:8" x14ac:dyDescent="0.6">
      <c r="A54" s="10" t="s">
        <v>28</v>
      </c>
      <c r="B54" s="11">
        <v>7922194</v>
      </c>
      <c r="C54" s="11">
        <v>1487271</v>
      </c>
      <c r="D54" s="11">
        <v>9277197</v>
      </c>
      <c r="E54" s="12">
        <v>18686662</v>
      </c>
      <c r="G54" s="1">
        <f>SUM(D35:D45)+D47</f>
        <v>9277197</v>
      </c>
      <c r="H54" s="1">
        <f>D54-G54</f>
        <v>0</v>
      </c>
    </row>
  </sheetData>
  <mergeCells count="6">
    <mergeCell ref="A33:A34"/>
    <mergeCell ref="D33:D34"/>
    <mergeCell ref="E33:E34"/>
    <mergeCell ref="A6:A7"/>
    <mergeCell ref="D6:D7"/>
    <mergeCell ref="E6:E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2026-06-01T14:29:45Z</dcterms:modified>
</cp:coreProperties>
</file>