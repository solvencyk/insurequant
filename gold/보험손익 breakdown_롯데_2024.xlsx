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3F4B2F2C-20CD-45CF-8FE4-3F99FB5AD9F9}" xr6:coauthVersionLast="47" xr6:coauthVersionMax="47" xr10:uidLastSave="{00000000-0000-0000-0000-000000000000}"/>
  <bookViews>
    <workbookView xWindow="-96" yWindow="0" windowWidth="23232" windowHeight="18576" xr2:uid="{B186C083-72FA-4707-BBE5-A56EC0A2D05F}"/>
  </bookViews>
  <sheets>
    <sheet name="Sheet1" sheetId="4" r:id="rId1"/>
    <sheet name="포괄손익계산서" sheetId="3" r:id="rId2"/>
    <sheet name="보험손익" sheetId="1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4" l="1"/>
  <c r="H24" i="4"/>
  <c r="I23" i="4"/>
  <c r="H22" i="4"/>
  <c r="I21" i="4"/>
  <c r="H20" i="4"/>
  <c r="H18" i="4"/>
  <c r="H17" i="4"/>
  <c r="H2" i="4"/>
  <c r="H15" i="4"/>
  <c r="H14" i="4"/>
  <c r="H12" i="4"/>
  <c r="H11" i="4"/>
  <c r="H10" i="4"/>
  <c r="H9" i="4"/>
  <c r="H4" i="4"/>
  <c r="H7" i="4"/>
  <c r="H6" i="4"/>
  <c r="H5" i="4"/>
  <c r="F8" i="3"/>
  <c r="F7" i="3"/>
  <c r="F6" i="3"/>
  <c r="F3" i="3"/>
  <c r="G3" i="3"/>
  <c r="H3" i="3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19" i="4"/>
  <c r="H8" i="4"/>
  <c r="E3" i="4"/>
  <c r="E4" i="4" s="1"/>
  <c r="E5" i="4" s="1"/>
  <c r="E6" i="4" s="1"/>
  <c r="E7" i="4" s="1"/>
  <c r="F5" i="3"/>
  <c r="F4" i="3"/>
  <c r="E50" i="1"/>
  <c r="H21" i="4" l="1"/>
  <c r="I2" i="4"/>
  <c r="H23" i="4" l="1"/>
  <c r="H25" i="4" l="1"/>
</calcChain>
</file>

<file path=xl/sharedStrings.xml><?xml version="1.0" encoding="utf-8"?>
<sst xmlns="http://schemas.openxmlformats.org/spreadsheetml/2006/main" count="245" uniqueCount="132">
  <si>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</si>
  <si>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</si>
  <si>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</si>
  <si>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</si>
  <si>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</si>
  <si>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</si>
  <si>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</si>
  <si>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</si>
  <si>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</si>
  <si>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</si>
  <si>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</si>
  <si>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</si>
  <si>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</si>
  <si>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</si>
  <si>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</si>
  <si>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</si>
  <si>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</si>
  <si>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</si>
  <si>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</si>
  <si>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</si>
  <si>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</si>
  <si>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</si>
  <si>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</si>
  <si>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</si>
  <si>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</si>
  <si>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</si>
  <si>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</si>
  <si>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</si>
  <si>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</si>
  <si>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</si>
  <si>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</si>
  <si>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</si>
  <si>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</si>
  <si>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</si>
  <si>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</si>
  <si>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제 80 기</t>
  </si>
  <si>
    <t>제 79 기</t>
  </si>
  <si>
    <t>제 78 기</t>
  </si>
  <si>
    <t>Ⅰ.보험손익</t>
  </si>
  <si>
    <t>　1.보험영업수익</t>
  </si>
  <si>
    <t>　　(1)보험수익 (주31)</t>
  </si>
  <si>
    <t>　　(2)재보험수익 (주31)</t>
  </si>
  <si>
    <t>　2.보험영업비용</t>
  </si>
  <si>
    <t>　　(1)보험비용 (주31)</t>
  </si>
  <si>
    <t>　　(2)재보험비용 (주31)</t>
  </si>
  <si>
    <t>　　(3)기타사업비용 (주35)</t>
  </si>
  <si>
    <t>Ⅱ.투자손익</t>
  </si>
  <si>
    <t>　1.투자영업수익</t>
  </si>
  <si>
    <t>　　(1)보험금융수익 (주33)</t>
  </si>
  <si>
    <t>　　(2)재보험금융수익 (주33)</t>
  </si>
  <si>
    <t>　　(3)이자수익</t>
  </si>
  <si>
    <t>　　　유효이자율법 적용 이자수익 (주32,40)</t>
  </si>
  <si>
    <t>　　　당기손익-공정가치측정금융자산 이자수익 (주32,40)</t>
  </si>
  <si>
    <t>　　(4)배당금수익 (주40)</t>
  </si>
  <si>
    <t>　　(5)당기손익-공정가치측정 금융자산관련 이익 (주34,40)</t>
  </si>
  <si>
    <t>　　(6)기타포괄손익-공정가치측정 금융자산관련 이익 (주34,40)</t>
  </si>
  <si>
    <t>　　(7)파생상품관련수익 (주34,40)</t>
  </si>
  <si>
    <t>　　(8)외화거래이익 (주40)</t>
  </si>
  <si>
    <t>　　(9)기타투자수익 (주36)</t>
  </si>
  <si>
    <t>　2.투자영업비용</t>
  </si>
  <si>
    <t>　　(1)보험금융비용 (주33)</t>
  </si>
  <si>
    <t>　　(2)재보험금융비용 (주33)</t>
  </si>
  <si>
    <t>　　(3)이자비용 (주32,40)</t>
  </si>
  <si>
    <t>　　(4)당기손익-공정가치측정 금융자산관련 손실 (주34,40)</t>
  </si>
  <si>
    <t>　　(5)기타포괄손익-공정가치측정 금융자산관련 손실 (주34,40)</t>
  </si>
  <si>
    <t>　　(6)상각후원가측정금융상품 처분손실 (주34,40)</t>
  </si>
  <si>
    <t>　　(7)신용손실충당금 전입액 (주6,7,8,10,25,40)</t>
  </si>
  <si>
    <t>　　(8)파생상품관련비용 (주34,40)</t>
  </si>
  <si>
    <t>　　(9)외화거래손실 (주40)</t>
  </si>
  <si>
    <t>　　(10)재산관리비 (주35)</t>
  </si>
  <si>
    <t>　　(11)기타투자비용 (주36)</t>
  </si>
  <si>
    <t>Ⅲ.영업이익(손실)</t>
  </si>
  <si>
    <t>Ⅳ.영업외손익</t>
  </si>
  <si>
    <t>　1.관계기업투자자산 평가손익 (주11)</t>
  </si>
  <si>
    <t>　2.영업외수익</t>
  </si>
  <si>
    <t>　3.영업외비용</t>
  </si>
  <si>
    <t>Ⅴ.법인세비용차감전순이익(손실)</t>
  </si>
  <si>
    <t>Ⅵ.법인세비용 (주37)</t>
  </si>
  <si>
    <t>Ⅶ.당기순이익(손실)</t>
  </si>
  <si>
    <t>대손준비금 반영후 조정손익 (주29)</t>
  </si>
  <si>
    <t>비상위험준비금 반영후 조정손익 (주29)</t>
  </si>
  <si>
    <t>해약환급금준비금 반영후 조정손익 (주29)</t>
  </si>
  <si>
    <t>Ⅷ.기타포괄손익 (주28)</t>
  </si>
  <si>
    <t>　1.당기손익으로 재분류되는 세후기타포괄손익의 구성요소</t>
  </si>
  <si>
    <t>　　(1)기타포괄손익-공정가치측정 채무증권 평가손익</t>
  </si>
  <si>
    <t>　　(2)기타포괄손익-공정가치측정 채무증권 신용손실</t>
  </si>
  <si>
    <t>　　(3)위험회피목적 파생상품 평가손익</t>
  </si>
  <si>
    <t>　　(4)보험계약자산(부채) 순금융손익</t>
  </si>
  <si>
    <t>　　(5)재보험계약자산(부채) 순금융손익</t>
  </si>
  <si>
    <t>　2.당기손익으로 재분류되지 않는 세후기타포괄손익의 구성요소</t>
  </si>
  <si>
    <t>　　(1)기타포괄손익-공정가치측정 지분증권 평가손익</t>
  </si>
  <si>
    <t>　　(2)자산재평가손익</t>
  </si>
  <si>
    <t>　　(3)확정급여제도의 재측정요소</t>
  </si>
  <si>
    <t>Ⅸ.총포괄손익</t>
  </si>
  <si>
    <t>Ⅹ.주당이익</t>
  </si>
  <si>
    <t>　기본주당이익(손실) (단위 : 원) (주38)</t>
  </si>
  <si>
    <t>　희석주당이익(손실) (단위 : 원) (주38)</t>
  </si>
  <si>
    <t>31. 보험손익 및 재보험손익</t>
  </si>
  <si>
    <t>당기와 전기 중 보험손익 및 재보험손익의 구성내역은 다음과 같습니다.</t>
  </si>
  <si>
    <t>&lt;제80(당)기&gt;</t>
  </si>
  <si>
    <t>(단위: 백만원)</t>
  </si>
  <si>
    <t>구 분</t>
  </si>
  <si>
    <t>장기</t>
  </si>
  <si>
    <t>일반</t>
  </si>
  <si>
    <t>자동차</t>
  </si>
  <si>
    <t>합 계</t>
  </si>
  <si>
    <t>보험수익</t>
  </si>
  <si>
    <t> 일반모형 적용 보험수익</t>
  </si>
  <si>
    <t>-</t>
  </si>
  <si>
    <t>  예상보험금 및 예상기타보험서비스비용</t>
  </si>
  <si>
    <t>  위험조정 변동</t>
  </si>
  <si>
    <t>  보험계약마진 상각</t>
  </si>
  <si>
    <t>  보험취득현금흐름 상각</t>
  </si>
  <si>
    <t> 보험료배분접근법 적용 보험수익</t>
  </si>
  <si>
    <t>총 보험수익</t>
  </si>
  <si>
    <t>보험비용</t>
  </si>
  <si>
    <t>  발생보험금 및 기타서비스비용</t>
  </si>
  <si>
    <t>  손실부담계약관련비용(환입)</t>
  </si>
  <si>
    <t>  발생사고요소조정</t>
  </si>
  <si>
    <t>총 보험비용</t>
  </si>
  <si>
    <t>재보험수익</t>
  </si>
  <si>
    <t>  발생보험금 및 기타재보험수익</t>
  </si>
  <si>
    <t>  손실회수요소 관련 수익</t>
  </si>
  <si>
    <t>총 재보험수익</t>
  </si>
  <si>
    <t>재보험비용</t>
  </si>
  <si>
    <t> 일반모형 적용 재보험비용</t>
  </si>
  <si>
    <t>  회수예상 보험금 및 기타보험서비스비용</t>
  </si>
  <si>
    <t> 보험료배분접근법 적용 재보험비용</t>
  </si>
  <si>
    <t>총 재보험비용</t>
  </si>
  <si>
    <t>롯데손보</t>
    <phoneticPr fontId="2" type="noConversion"/>
  </si>
  <si>
    <t>KR0003</t>
    <phoneticPr fontId="2" type="noConversion"/>
  </si>
  <si>
    <t>2024.4Q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</si>
</sst>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K25"/>
  <sheetViews>
    <sheetView tabSelected="1" workbookViewId="0"/>
  </sheetViews>
  <sheetFormatPr defaultRowHeight="17.399999999999999" x14ac:dyDescent="0.4"/>
  <cols>
    <col min="5" max="5" width="9.19921875" bestFit="1" customWidth="1"/>
    <col min="6" max="6" width="20.8984375" bestFit="1" customWidth="1"/>
    <col min="8" max="8" width="16.59765625" bestFit="1" customWidth="1"/>
  </cols>
  <sheetData>
    <row r="1" spans="1:11" x14ac:dyDescent="0.4">
      <c r="A1" s="13" t="s">
        <v>21</v>
      </c>
      <c r="B1" s="13" t="s">
        <v>20</v>
      </c>
      <c r="C1" s="13" t="s">
        <v>19</v>
      </c>
      <c r="D1" s="13" t="s">
        <v>18</v>
      </c>
      <c r="E1" s="13" t="s">
        <v>17</v>
      </c>
      <c r="F1" s="13" t="s">
        <v>16</v>
      </c>
      <c r="G1" s="13" t="s">
        <v>0</v>
      </c>
      <c r="H1" s="13" t="s">
        <v>15</v>
      </c>
      <c r="I1" s="13" t="s">
        <v>22</v>
      </c>
    </row>
    <row r="2" spans="1:11" x14ac:dyDescent="0.4">
      <c r="A2" s="13" t="s">
        <v>130</v>
      </c>
      <c r="B2" s="13" t="s">
        <v>129</v>
      </c>
      <c r="C2" s="13"/>
      <c r="D2" s="13" t="s">
        <v>3</v>
      </c>
      <c r="E2" s="13">
        <v>1</v>
      </c>
      <c r="F2" t="s">
        <v>14</v>
      </c>
      <c r="G2" s="13" t="s">
        <v>131</v>
      </c>
      <c r="H2" s="2">
        <f>H3+H14+H15+H16-H17</f>
        <v>177845.251862</v>
      </c>
      <c r="I2" t="b">
        <f>ROUND(H2,0)=ROUND(포괄손익계산서!B2/1000000,0)</f>
        <v>1</v>
      </c>
    </row>
    <row r="3" spans="1:11" x14ac:dyDescent="0.4">
      <c r="A3" s="13" t="s">
        <v>130</v>
      </c>
      <c r="B3" s="13" t="s">
        <v>129</v>
      </c>
      <c r="C3" s="13"/>
      <c r="D3" s="13" t="s">
        <v>3</v>
      </c>
      <c r="E3">
        <f t="shared" ref="E3" si="0">E2+1</f>
        <v>2</v>
      </c>
      <c r="F3" t="s">
        <v>23</v>
      </c>
      <c r="G3" t="s">
        <v>131</v>
      </c>
      <c r="H3" s="2">
        <f>H4+H9</f>
        <v>222982</v>
      </c>
    </row>
    <row r="4" spans="1:11" x14ac:dyDescent="0.4">
      <c r="A4" s="13" t="s">
        <v>130</v>
      </c>
      <c r="B4" s="13" t="s">
        <v>129</v>
      </c>
      <c r="C4" s="13"/>
      <c r="D4" s="13" t="s">
        <v>3</v>
      </c>
      <c r="E4">
        <f t="shared" ref="E4:E7" si="1">E3+1</f>
        <v>3</v>
      </c>
      <c r="F4" t="s">
        <v>24</v>
      </c>
      <c r="G4" t="s">
        <v>131</v>
      </c>
      <c r="H4" s="2">
        <f>보험손익!B15-보험손익!B21</f>
        <v>239602</v>
      </c>
    </row>
    <row r="5" spans="1:11" x14ac:dyDescent="0.4">
      <c r="A5" s="13" t="s">
        <v>130</v>
      </c>
      <c r="B5" s="13" t="s">
        <v>129</v>
      </c>
      <c r="C5" s="13"/>
      <c r="D5" s="13" t="s">
        <v>3</v>
      </c>
      <c r="E5">
        <f t="shared" si="1"/>
        <v>4</v>
      </c>
      <c r="F5" t="s">
        <v>27</v>
      </c>
      <c r="G5" t="s">
        <v>131</v>
      </c>
      <c r="H5" s="2">
        <f>보험손익!B12</f>
        <v>225448</v>
      </c>
    </row>
    <row r="6" spans="1:11" x14ac:dyDescent="0.4">
      <c r="A6" s="13" t="s">
        <v>130</v>
      </c>
      <c r="B6" s="13" t="s">
        <v>129</v>
      </c>
      <c r="C6" s="13"/>
      <c r="D6" s="13" t="s">
        <v>3</v>
      </c>
      <c r="E6">
        <f t="shared" si="1"/>
        <v>5</v>
      </c>
      <c r="F6" t="s">
        <v>28</v>
      </c>
      <c r="G6" t="s">
        <v>131</v>
      </c>
      <c r="H6" s="2">
        <f>보험손익!B11</f>
        <v>27297</v>
      </c>
    </row>
    <row r="7" spans="1:11" x14ac:dyDescent="0.4">
      <c r="A7" s="13" t="s">
        <v>130</v>
      </c>
      <c r="B7" s="13" t="s">
        <v>129</v>
      </c>
      <c r="C7" s="13"/>
      <c r="D7" s="13" t="s">
        <v>3</v>
      </c>
      <c r="E7">
        <f t="shared" si="1"/>
        <v>6</v>
      </c>
      <c r="F7" t="s">
        <v>29</v>
      </c>
      <c r="G7" t="s">
        <v>131</v>
      </c>
      <c r="H7" s="2">
        <f>보험손익!B10-보험손익!B17</f>
        <v>2865</v>
      </c>
    </row>
    <row r="8" spans="1:11" x14ac:dyDescent="0.4">
      <c r="A8" s="13" t="s">
        <v>130</v>
      </c>
      <c r="B8" s="13" t="s">
        <v>129</v>
      </c>
      <c r="C8" s="13"/>
      <c r="D8" s="13" t="s">
        <v>26</v>
      </c>
      <c r="E8">
        <f t="shared" ref="E8:E25" si="2">E7+1</f>
        <v>7</v>
      </c>
      <c r="F8" t="s">
        <v>30</v>
      </c>
      <c r="G8" t="s">
        <v>131</v>
      </c>
      <c r="H8" s="2">
        <f>H4-SUM(H5:H7)</f>
        <v>-16008</v>
      </c>
      <c r="K8" s="2"/>
    </row>
    <row r="9" spans="1:11" x14ac:dyDescent="0.4">
      <c r="A9" s="13" t="s">
        <v>130</v>
      </c>
      <c r="B9" s="13" t="s">
        <v>129</v>
      </c>
      <c r="C9" s="13"/>
      <c r="D9" s="13" t="s">
        <v>26</v>
      </c>
      <c r="E9">
        <f t="shared" si="2"/>
        <v>8</v>
      </c>
      <c r="F9" t="s">
        <v>25</v>
      </c>
      <c r="G9" t="s">
        <v>131</v>
      </c>
      <c r="H9" s="2">
        <f>보험손익!B26-보험손익!B33</f>
        <v>-16620</v>
      </c>
      <c r="K9" s="2"/>
    </row>
    <row r="10" spans="1:11" x14ac:dyDescent="0.4">
      <c r="A10" s="13" t="s">
        <v>130</v>
      </c>
      <c r="B10" s="13" t="s">
        <v>129</v>
      </c>
      <c r="C10" s="13"/>
      <c r="D10" s="13" t="s">
        <v>26</v>
      </c>
      <c r="E10">
        <f t="shared" si="2"/>
        <v>9</v>
      </c>
      <c r="F10" t="s">
        <v>31</v>
      </c>
      <c r="G10" t="s">
        <v>131</v>
      </c>
      <c r="H10" s="2">
        <f>-보험손익!B31</f>
        <v>-2989</v>
      </c>
      <c r="K10" s="2"/>
    </row>
    <row r="11" spans="1:11" x14ac:dyDescent="0.4">
      <c r="A11" s="13" t="s">
        <v>130</v>
      </c>
      <c r="B11" s="13" t="s">
        <v>129</v>
      </c>
      <c r="C11" s="13"/>
      <c r="D11" s="13" t="s">
        <v>26</v>
      </c>
      <c r="E11">
        <f t="shared" si="2"/>
        <v>10</v>
      </c>
      <c r="F11" t="s">
        <v>32</v>
      </c>
      <c r="G11" t="s">
        <v>131</v>
      </c>
      <c r="H11" s="2">
        <f>-보험손익!B30</f>
        <v>-1060</v>
      </c>
      <c r="K11" s="2"/>
    </row>
    <row r="12" spans="1:11" x14ac:dyDescent="0.4">
      <c r="A12" s="13" t="s">
        <v>130</v>
      </c>
      <c r="B12" s="13" t="s">
        <v>129</v>
      </c>
      <c r="C12" s="13"/>
      <c r="D12" s="13" t="s">
        <v>26</v>
      </c>
      <c r="E12">
        <f t="shared" si="2"/>
        <v>11</v>
      </c>
      <c r="F12" t="s">
        <v>33</v>
      </c>
      <c r="G12" t="s">
        <v>131</v>
      </c>
      <c r="H12" s="2">
        <f>보험손익!B23-보험손익!B29</f>
        <v>1073</v>
      </c>
      <c r="K12" s="2"/>
    </row>
    <row r="13" spans="1:11" x14ac:dyDescent="0.4">
      <c r="A13" s="13" t="s">
        <v>130</v>
      </c>
      <c r="B13" s="13" t="s">
        <v>129</v>
      </c>
      <c r="C13" s="13"/>
      <c r="D13" s="13" t="s">
        <v>26</v>
      </c>
      <c r="E13">
        <f t="shared" si="2"/>
        <v>12</v>
      </c>
      <c r="F13" t="s">
        <v>34</v>
      </c>
      <c r="G13" t="s">
        <v>131</v>
      </c>
      <c r="H13" s="2">
        <f>H9-SUM(H10:H12)</f>
        <v>-13644</v>
      </c>
      <c r="K13" s="2"/>
    </row>
    <row r="14" spans="1:11" x14ac:dyDescent="0.4">
      <c r="A14" s="13" t="s">
        <v>130</v>
      </c>
      <c r="B14" s="13" t="s">
        <v>129</v>
      </c>
      <c r="C14" s="13"/>
      <c r="D14" s="13" t="s">
        <v>26</v>
      </c>
      <c r="E14">
        <f t="shared" si="2"/>
        <v>13</v>
      </c>
      <c r="F14" t="s">
        <v>13</v>
      </c>
      <c r="G14" t="s">
        <v>131</v>
      </c>
      <c r="H14" s="2">
        <f>보험손익!D15-보험손익!D21-보험손익!D33+보험손익!D26</f>
        <v>-11110</v>
      </c>
    </row>
    <row r="15" spans="1:11" x14ac:dyDescent="0.4">
      <c r="A15" s="13" t="s">
        <v>130</v>
      </c>
      <c r="B15" s="13" t="s">
        <v>129</v>
      </c>
      <c r="C15" s="13"/>
      <c r="D15" s="13" t="s">
        <v>3</v>
      </c>
      <c r="E15">
        <f t="shared" si="2"/>
        <v>14</v>
      </c>
      <c r="F15" t="s">
        <v>12</v>
      </c>
      <c r="G15" t="s">
        <v>131</v>
      </c>
      <c r="H15" s="2">
        <f>보험손익!C15-보험손익!C21-보험손익!C33+보험손익!C26</f>
        <v>-2804</v>
      </c>
    </row>
    <row r="16" spans="1:11" x14ac:dyDescent="0.4">
      <c r="A16" s="13" t="s">
        <v>130</v>
      </c>
      <c r="B16" s="13" t="s">
        <v>129</v>
      </c>
      <c r="C16" s="13"/>
      <c r="D16" s="13" t="s">
        <v>3</v>
      </c>
      <c r="E16">
        <f t="shared" si="2"/>
        <v>15</v>
      </c>
      <c r="F16" t="s">
        <v>8</v>
      </c>
      <c r="G16" t="s">
        <v>131</v>
      </c>
      <c r="H16" s="2"/>
    </row>
    <row r="17" spans="1:9" x14ac:dyDescent="0.4">
      <c r="A17" s="13" t="s">
        <v>130</v>
      </c>
      <c r="B17" s="13" t="s">
        <v>129</v>
      </c>
      <c r="C17" s="13"/>
      <c r="D17" s="13" t="s">
        <v>3</v>
      </c>
      <c r="E17">
        <f t="shared" si="2"/>
        <v>16</v>
      </c>
      <c r="F17" t="s">
        <v>7</v>
      </c>
      <c r="G17" t="s">
        <v>131</v>
      </c>
      <c r="H17" s="2">
        <f>포괄손익계산서!B9/1000000</f>
        <v>31222.748137999999</v>
      </c>
    </row>
    <row r="18" spans="1:9" x14ac:dyDescent="0.4">
      <c r="A18" s="13" t="s">
        <v>130</v>
      </c>
      <c r="B18" s="13" t="s">
        <v>129</v>
      </c>
      <c r="C18" s="13"/>
      <c r="D18" s="13" t="s">
        <v>3</v>
      </c>
      <c r="E18">
        <f t="shared" si="2"/>
        <v>17</v>
      </c>
      <c r="F18" t="s">
        <v>11</v>
      </c>
      <c r="G18" t="s">
        <v>131</v>
      </c>
      <c r="H18" s="2">
        <f>포괄손익계산서!B10/1000000</f>
        <v>-146783.990983</v>
      </c>
    </row>
    <row r="19" spans="1:9" x14ac:dyDescent="0.4">
      <c r="A19" s="13" t="s">
        <v>130</v>
      </c>
      <c r="B19" s="13" t="s">
        <v>129</v>
      </c>
      <c r="C19" s="13"/>
      <c r="D19" s="13" t="s">
        <v>3</v>
      </c>
      <c r="E19">
        <f t="shared" si="2"/>
        <v>18</v>
      </c>
      <c r="F19" t="s">
        <v>10</v>
      </c>
      <c r="G19" t="s">
        <v>131</v>
      </c>
      <c r="H19" s="2">
        <f>H18-H20</f>
        <v>20817.652644000016</v>
      </c>
    </row>
    <row r="20" spans="1:9" x14ac:dyDescent="0.4">
      <c r="A20" s="13" t="s">
        <v>130</v>
      </c>
      <c r="B20" s="13" t="s">
        <v>129</v>
      </c>
      <c r="C20" s="13"/>
      <c r="D20" s="13" t="s">
        <v>3</v>
      </c>
      <c r="E20">
        <f t="shared" si="2"/>
        <v>19</v>
      </c>
      <c r="F20" t="s">
        <v>9</v>
      </c>
      <c r="G20" t="s">
        <v>131</v>
      </c>
      <c r="H20" s="2">
        <f>(포괄손익계산서!B12+포괄손익계산서!B13-포괄손익계산서!B24-포괄손익계산서!B25)/1000000</f>
        <v>-167601.64362700001</v>
      </c>
    </row>
    <row r="21" spans="1:9" x14ac:dyDescent="0.4">
      <c r="A21" s="13" t="s">
        <v>130</v>
      </c>
      <c r="B21" s="13" t="s">
        <v>129</v>
      </c>
      <c r="C21" s="13"/>
      <c r="D21" s="13" t="s">
        <v>3</v>
      </c>
      <c r="E21">
        <f t="shared" si="2"/>
        <v>20</v>
      </c>
      <c r="F21" t="s">
        <v>1</v>
      </c>
      <c r="G21" t="s">
        <v>131</v>
      </c>
      <c r="H21" s="2">
        <f>H2+H18</f>
        <v>31061.260879000009</v>
      </c>
      <c r="I21" t="b">
        <f>ROUND(H21,0)=ROUND(포괄손익계산서!B35/1000000,0)</f>
        <v>1</v>
      </c>
    </row>
    <row r="22" spans="1:9" x14ac:dyDescent="0.4">
      <c r="A22" s="13" t="s">
        <v>130</v>
      </c>
      <c r="B22" s="13" t="s">
        <v>129</v>
      </c>
      <c r="C22" s="13"/>
      <c r="D22" s="13" t="s">
        <v>3</v>
      </c>
      <c r="E22">
        <f t="shared" si="2"/>
        <v>21</v>
      </c>
      <c r="F22" t="s">
        <v>6</v>
      </c>
      <c r="G22" t="s">
        <v>131</v>
      </c>
      <c r="H22" s="2">
        <f>포괄손익계산서!B36/1000000</f>
        <v>2268.6480240000001</v>
      </c>
    </row>
    <row r="23" spans="1:9" x14ac:dyDescent="0.4">
      <c r="A23" s="13" t="s">
        <v>130</v>
      </c>
      <c r="B23" s="13" t="s">
        <v>129</v>
      </c>
      <c r="C23" s="13"/>
      <c r="D23" s="13" t="s">
        <v>3</v>
      </c>
      <c r="E23">
        <f t="shared" si="2"/>
        <v>22</v>
      </c>
      <c r="F23" t="s">
        <v>5</v>
      </c>
      <c r="G23" t="s">
        <v>131</v>
      </c>
      <c r="H23" s="2">
        <f>H21+H22</f>
        <v>33329.90890300001</v>
      </c>
      <c r="I23" t="b">
        <f>ABS(ROUND(H23,0)-ROUND(포괄손익계산서!B40/1000000,0))&lt;2</f>
        <v>1</v>
      </c>
    </row>
    <row r="24" spans="1:9" x14ac:dyDescent="0.4">
      <c r="A24" s="13" t="s">
        <v>130</v>
      </c>
      <c r="B24" s="13" t="s">
        <v>129</v>
      </c>
      <c r="C24" s="13"/>
      <c r="D24" s="13" t="s">
        <v>3</v>
      </c>
      <c r="E24">
        <f t="shared" si="2"/>
        <v>23</v>
      </c>
      <c r="F24" t="s">
        <v>4</v>
      </c>
      <c r="G24" t="s">
        <v>131</v>
      </c>
      <c r="H24" s="2">
        <f>포괄손익계산서!B41/1000000</f>
        <v>9108.5140379999993</v>
      </c>
    </row>
    <row r="25" spans="1:9" x14ac:dyDescent="0.4">
      <c r="A25" s="13" t="s">
        <v>130</v>
      </c>
      <c r="B25" s="13" t="s">
        <v>129</v>
      </c>
      <c r="C25" s="13"/>
      <c r="D25" s="13" t="s">
        <v>3</v>
      </c>
      <c r="E25">
        <f t="shared" si="2"/>
        <v>24</v>
      </c>
      <c r="F25" t="s">
        <v>2</v>
      </c>
      <c r="G25" t="s">
        <v>131</v>
      </c>
      <c r="H25" s="2">
        <f>H23-H24</f>
        <v>24221.394865000009</v>
      </c>
      <c r="I25" s="2" t="b">
        <f>ROUND(H25,0)=ROUND(포괄손익계산서!B42/1000000,0)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248A-C364-46D5-83DC-A0E51DBEED06}">
  <dimension ref="A1:H60"/>
  <sheetViews>
    <sheetView topLeftCell="A6" workbookViewId="0">
      <selection activeCell="B10" sqref="B10"/>
    </sheetView>
  </sheetViews>
  <sheetFormatPr defaultRowHeight="17.399999999999999" x14ac:dyDescent="0.4"/>
  <cols>
    <col min="1" max="1" width="48.5" bestFit="1" customWidth="1"/>
    <col min="2" max="2" width="19" bestFit="1" customWidth="1"/>
    <col min="3" max="3" width="19.09765625" bestFit="1" customWidth="1"/>
    <col min="4" max="4" width="19" bestFit="1" customWidth="1"/>
  </cols>
  <sheetData>
    <row r="1" spans="1:8" x14ac:dyDescent="0.4">
      <c r="A1" s="14"/>
      <c r="B1" s="6" t="s">
        <v>35</v>
      </c>
      <c r="C1" s="6" t="s">
        <v>36</v>
      </c>
      <c r="D1" s="12" t="s">
        <v>37</v>
      </c>
    </row>
    <row r="2" spans="1:8" x14ac:dyDescent="0.4">
      <c r="A2" s="15" t="s">
        <v>38</v>
      </c>
      <c r="B2" s="3">
        <v>177845259910</v>
      </c>
      <c r="C2" s="3">
        <v>461540038638</v>
      </c>
      <c r="D2" s="7">
        <v>152278406190</v>
      </c>
    </row>
    <row r="3" spans="1:8" x14ac:dyDescent="0.4">
      <c r="A3" s="15" t="s">
        <v>39</v>
      </c>
      <c r="B3" s="3">
        <v>2024310764223</v>
      </c>
      <c r="C3" s="3">
        <v>1626337994363</v>
      </c>
      <c r="D3" s="7">
        <v>1565112476749</v>
      </c>
      <c r="F3" t="b">
        <f t="shared" ref="F3:H3" si="0">B3=SUM(B4:B5)</f>
        <v>1</v>
      </c>
      <c r="G3" t="b">
        <f t="shared" si="0"/>
        <v>1</v>
      </c>
      <c r="H3" t="b">
        <f t="shared" si="0"/>
        <v>1</v>
      </c>
    </row>
    <row r="4" spans="1:8" x14ac:dyDescent="0.4">
      <c r="A4" s="15" t="s">
        <v>40</v>
      </c>
      <c r="B4" s="3">
        <v>1977217034653</v>
      </c>
      <c r="C4" s="3">
        <v>1645713805967</v>
      </c>
      <c r="D4" s="7">
        <v>1485670367000</v>
      </c>
      <c r="F4" t="b">
        <f>ROUND(B4/1000000,0)=SUM(보험손익!E2:E7)</f>
        <v>0</v>
      </c>
    </row>
    <row r="5" spans="1:8" x14ac:dyDescent="0.4">
      <c r="A5" s="15" t="s">
        <v>41</v>
      </c>
      <c r="B5" s="3">
        <v>47093729570</v>
      </c>
      <c r="C5" s="3">
        <v>-19375811604</v>
      </c>
      <c r="D5" s="7">
        <v>79442109749</v>
      </c>
      <c r="F5" t="b">
        <f>ROUND(B5/1000000,0)=SUM(보험손익!E17:E19)</f>
        <v>0</v>
      </c>
    </row>
    <row r="6" spans="1:8" x14ac:dyDescent="0.4">
      <c r="A6" s="15" t="s">
        <v>42</v>
      </c>
      <c r="B6" s="3">
        <v>1846465504313</v>
      </c>
      <c r="C6" s="3">
        <v>1164797955725</v>
      </c>
      <c r="D6" s="7">
        <v>1412834070559</v>
      </c>
      <c r="F6" t="b">
        <f>B6=SUM(B7:B9)</f>
        <v>1</v>
      </c>
    </row>
    <row r="7" spans="1:8" x14ac:dyDescent="0.4">
      <c r="A7" s="15" t="s">
        <v>43</v>
      </c>
      <c r="B7" s="3">
        <v>1678969075280</v>
      </c>
      <c r="C7" s="3">
        <v>993523643711</v>
      </c>
      <c r="D7" s="7">
        <v>1245389953649</v>
      </c>
      <c r="F7" t="b">
        <f>ROUND(B7/1000000,0)=SUM(보험손익!E7:E10)</f>
        <v>0</v>
      </c>
    </row>
    <row r="8" spans="1:8" x14ac:dyDescent="0.4">
      <c r="A8" s="15" t="s">
        <v>44</v>
      </c>
      <c r="B8" s="3">
        <v>136273680895</v>
      </c>
      <c r="C8" s="3">
        <v>139464604088</v>
      </c>
      <c r="D8" s="7">
        <v>156058824512</v>
      </c>
      <c r="F8" t="b">
        <f>ROUND(B8/1000000,0)=SUM(보험손익!E11:E15)</f>
        <v>0</v>
      </c>
    </row>
    <row r="9" spans="1:8" x14ac:dyDescent="0.4">
      <c r="A9" s="15" t="s">
        <v>45</v>
      </c>
      <c r="B9" s="3">
        <v>31222748138</v>
      </c>
      <c r="C9" s="3">
        <v>31809707926</v>
      </c>
      <c r="D9" s="7">
        <v>11385292398</v>
      </c>
    </row>
    <row r="10" spans="1:8" x14ac:dyDescent="0.4">
      <c r="A10" s="15" t="s">
        <v>46</v>
      </c>
      <c r="B10" s="3">
        <v>-146783990983</v>
      </c>
      <c r="C10" s="3">
        <v>-86105249856</v>
      </c>
      <c r="D10" s="7">
        <v>-277408074637</v>
      </c>
    </row>
    <row r="11" spans="1:8" x14ac:dyDescent="0.4">
      <c r="A11" s="15" t="s">
        <v>47</v>
      </c>
      <c r="B11" s="3">
        <v>1127206108512</v>
      </c>
      <c r="C11" s="3">
        <v>932755658705</v>
      </c>
      <c r="D11" s="7">
        <v>890139484021</v>
      </c>
    </row>
    <row r="12" spans="1:8" x14ac:dyDescent="0.4">
      <c r="A12" s="15" t="s">
        <v>48</v>
      </c>
      <c r="B12" s="3">
        <v>13149994091</v>
      </c>
      <c r="C12" s="3">
        <v>7249805363</v>
      </c>
      <c r="D12" s="7">
        <v>22075115735</v>
      </c>
    </row>
    <row r="13" spans="1:8" x14ac:dyDescent="0.4">
      <c r="A13" s="15" t="s">
        <v>49</v>
      </c>
      <c r="B13" s="3">
        <v>10696729663</v>
      </c>
      <c r="C13" s="3">
        <v>12109094235</v>
      </c>
      <c r="D13" s="7">
        <v>14489672516</v>
      </c>
    </row>
    <row r="14" spans="1:8" x14ac:dyDescent="0.4">
      <c r="A14" s="15" t="s">
        <v>50</v>
      </c>
      <c r="B14" s="3">
        <v>374442783877</v>
      </c>
      <c r="C14" s="3">
        <v>342539205517</v>
      </c>
      <c r="D14" s="7">
        <v>351525261678</v>
      </c>
    </row>
    <row r="15" spans="1:8" x14ac:dyDescent="0.4">
      <c r="A15" s="15" t="s">
        <v>51</v>
      </c>
      <c r="B15" s="3">
        <v>338114995771</v>
      </c>
      <c r="C15" s="3">
        <v>298421742352</v>
      </c>
      <c r="D15" s="7">
        <v>280112910329</v>
      </c>
    </row>
    <row r="16" spans="1:8" x14ac:dyDescent="0.4">
      <c r="A16" s="15" t="s">
        <v>52</v>
      </c>
      <c r="B16" s="3">
        <v>36327788106</v>
      </c>
      <c r="C16" s="3">
        <v>44117463165</v>
      </c>
      <c r="D16" s="7">
        <v>71412351349</v>
      </c>
    </row>
    <row r="17" spans="1:4" x14ac:dyDescent="0.4">
      <c r="A17" s="15" t="s">
        <v>53</v>
      </c>
      <c r="B17" s="3">
        <v>2531316521</v>
      </c>
      <c r="C17" s="3">
        <v>3693988464</v>
      </c>
      <c r="D17" s="7">
        <v>2468616908</v>
      </c>
    </row>
    <row r="18" spans="1:4" ht="28.8" x14ac:dyDescent="0.4">
      <c r="A18" s="15" t="s">
        <v>54</v>
      </c>
      <c r="B18" s="3">
        <v>319495070920</v>
      </c>
      <c r="C18" s="3">
        <v>390853509610</v>
      </c>
      <c r="D18" s="7">
        <v>284415663464</v>
      </c>
    </row>
    <row r="19" spans="1:4" ht="28.8" x14ac:dyDescent="0.4">
      <c r="A19" s="15" t="s">
        <v>55</v>
      </c>
      <c r="B19" s="3">
        <v>81114455423</v>
      </c>
      <c r="C19" s="3">
        <v>4517752</v>
      </c>
      <c r="D19" s="7">
        <v>903969911</v>
      </c>
    </row>
    <row r="20" spans="1:4" x14ac:dyDescent="0.4">
      <c r="A20" s="15" t="s">
        <v>56</v>
      </c>
      <c r="B20" s="3">
        <v>49462779572</v>
      </c>
      <c r="C20" s="3">
        <v>93923265905</v>
      </c>
      <c r="D20" s="7">
        <v>77457894758</v>
      </c>
    </row>
    <row r="21" spans="1:4" x14ac:dyDescent="0.4">
      <c r="A21" s="15" t="s">
        <v>57</v>
      </c>
      <c r="B21" s="3">
        <v>272396880483</v>
      </c>
      <c r="C21" s="3">
        <v>78274895401</v>
      </c>
      <c r="D21" s="7">
        <v>126941114894</v>
      </c>
    </row>
    <row r="22" spans="1:4" x14ac:dyDescent="0.4">
      <c r="A22" s="15" t="s">
        <v>58</v>
      </c>
      <c r="B22" s="3">
        <v>3916097962</v>
      </c>
      <c r="C22" s="3">
        <v>4107376458</v>
      </c>
      <c r="D22" s="7">
        <v>9862174157</v>
      </c>
    </row>
    <row r="23" spans="1:4" x14ac:dyDescent="0.4">
      <c r="A23" s="15" t="s">
        <v>59</v>
      </c>
      <c r="B23" s="3">
        <v>1273990099495</v>
      </c>
      <c r="C23" s="3">
        <v>1018860908561</v>
      </c>
      <c r="D23" s="7">
        <v>1167547558658</v>
      </c>
    </row>
    <row r="24" spans="1:4" x14ac:dyDescent="0.4">
      <c r="A24" s="15" t="s">
        <v>60</v>
      </c>
      <c r="B24" s="3">
        <v>187804532084</v>
      </c>
      <c r="C24" s="3">
        <v>191079668666</v>
      </c>
      <c r="D24" s="7">
        <v>192735706706</v>
      </c>
    </row>
    <row r="25" spans="1:4" x14ac:dyDescent="0.4">
      <c r="A25" s="15" t="s">
        <v>61</v>
      </c>
      <c r="B25" s="3">
        <v>3643835297</v>
      </c>
      <c r="C25" s="3">
        <v>4642903969</v>
      </c>
      <c r="D25" s="7">
        <v>6727656583</v>
      </c>
    </row>
    <row r="26" spans="1:4" x14ac:dyDescent="0.4">
      <c r="A26" s="15" t="s">
        <v>62</v>
      </c>
      <c r="B26" s="3">
        <v>350330359875</v>
      </c>
      <c r="C26" s="3">
        <v>349867610883</v>
      </c>
      <c r="D26" s="7">
        <v>231557597839</v>
      </c>
    </row>
    <row r="27" spans="1:4" ht="28.8" x14ac:dyDescent="0.4">
      <c r="A27" s="15" t="s">
        <v>63</v>
      </c>
      <c r="B27" s="3">
        <v>296311210617</v>
      </c>
      <c r="C27" s="3">
        <v>201372262407</v>
      </c>
      <c r="D27" s="7">
        <v>493788249253</v>
      </c>
    </row>
    <row r="28" spans="1:4" ht="28.8" x14ac:dyDescent="0.4">
      <c r="A28" s="15" t="s">
        <v>64</v>
      </c>
      <c r="B28" s="3">
        <v>334340541</v>
      </c>
      <c r="C28" s="3">
        <v>16293258604</v>
      </c>
      <c r="D28" s="7">
        <v>244829289</v>
      </c>
    </row>
    <row r="29" spans="1:4" x14ac:dyDescent="0.4">
      <c r="A29" s="15" t="s">
        <v>65</v>
      </c>
      <c r="B29" s="5">
        <v>0</v>
      </c>
      <c r="C29" s="3">
        <v>794129600</v>
      </c>
      <c r="D29" s="11">
        <v>0</v>
      </c>
    </row>
    <row r="30" spans="1:4" x14ac:dyDescent="0.4">
      <c r="A30" s="15" t="s">
        <v>66</v>
      </c>
      <c r="B30" s="3">
        <v>20697792305</v>
      </c>
      <c r="C30" s="3">
        <v>20678546069</v>
      </c>
      <c r="D30" s="7">
        <v>6021987983</v>
      </c>
    </row>
    <row r="31" spans="1:4" x14ac:dyDescent="0.4">
      <c r="A31" s="15" t="s">
        <v>67</v>
      </c>
      <c r="B31" s="3">
        <v>370614311869</v>
      </c>
      <c r="C31" s="3">
        <v>185941834570</v>
      </c>
      <c r="D31" s="7">
        <v>193658783588</v>
      </c>
    </row>
    <row r="32" spans="1:4" x14ac:dyDescent="0.4">
      <c r="A32" s="15" t="s">
        <v>68</v>
      </c>
      <c r="B32" s="3">
        <v>6007813945</v>
      </c>
      <c r="C32" s="3">
        <v>8042625002</v>
      </c>
      <c r="D32" s="7">
        <v>17149110854</v>
      </c>
    </row>
    <row r="33" spans="1:4" x14ac:dyDescent="0.4">
      <c r="A33" s="15" t="s">
        <v>69</v>
      </c>
      <c r="B33" s="3">
        <v>8777781064</v>
      </c>
      <c r="C33" s="3">
        <v>7735933114</v>
      </c>
      <c r="D33" s="7">
        <v>9709383403</v>
      </c>
    </row>
    <row r="34" spans="1:4" x14ac:dyDescent="0.4">
      <c r="A34" s="15" t="s">
        <v>70</v>
      </c>
      <c r="B34" s="3">
        <v>29468121898</v>
      </c>
      <c r="C34" s="3">
        <v>32412135677</v>
      </c>
      <c r="D34" s="7">
        <v>15954253160</v>
      </c>
    </row>
    <row r="35" spans="1:4" x14ac:dyDescent="0.4">
      <c r="A35" s="15" t="s">
        <v>71</v>
      </c>
      <c r="B35" s="3">
        <v>31061268927</v>
      </c>
      <c r="C35" s="3">
        <v>375434788782</v>
      </c>
      <c r="D35" s="7">
        <v>-125129668447</v>
      </c>
    </row>
    <row r="36" spans="1:4" x14ac:dyDescent="0.4">
      <c r="A36" s="15" t="s">
        <v>72</v>
      </c>
      <c r="B36" s="3">
        <v>2268648024</v>
      </c>
      <c r="C36" s="3">
        <v>-1952079806</v>
      </c>
      <c r="D36" s="7">
        <v>-6600882549</v>
      </c>
    </row>
    <row r="37" spans="1:4" x14ac:dyDescent="0.4">
      <c r="A37" s="15" t="s">
        <v>73</v>
      </c>
      <c r="B37" s="3">
        <v>-538467906</v>
      </c>
      <c r="C37" s="3">
        <v>-541233244</v>
      </c>
      <c r="D37" s="7">
        <v>-326504230</v>
      </c>
    </row>
    <row r="38" spans="1:4" x14ac:dyDescent="0.4">
      <c r="A38" s="15" t="s">
        <v>74</v>
      </c>
      <c r="B38" s="3">
        <v>6158290024</v>
      </c>
      <c r="C38" s="3">
        <v>5390266024</v>
      </c>
      <c r="D38" s="7">
        <v>3634020664</v>
      </c>
    </row>
    <row r="39" spans="1:4" x14ac:dyDescent="0.4">
      <c r="A39" s="15" t="s">
        <v>75</v>
      </c>
      <c r="B39" s="3">
        <v>3351174094</v>
      </c>
      <c r="C39" s="3">
        <v>6801112586</v>
      </c>
      <c r="D39" s="7">
        <v>9908398983</v>
      </c>
    </row>
    <row r="40" spans="1:4" x14ac:dyDescent="0.4">
      <c r="A40" s="15" t="s">
        <v>76</v>
      </c>
      <c r="B40" s="3">
        <v>33329916951</v>
      </c>
      <c r="C40" s="3">
        <v>373482708976</v>
      </c>
      <c r="D40" s="7">
        <v>-131730550996</v>
      </c>
    </row>
    <row r="41" spans="1:4" x14ac:dyDescent="0.4">
      <c r="A41" s="15" t="s">
        <v>77</v>
      </c>
      <c r="B41" s="3">
        <v>9108514038</v>
      </c>
      <c r="C41" s="3">
        <v>87902382833</v>
      </c>
      <c r="D41" s="7">
        <v>-32528115575</v>
      </c>
    </row>
    <row r="42" spans="1:4" x14ac:dyDescent="0.4">
      <c r="A42" s="15" t="s">
        <v>78</v>
      </c>
      <c r="B42" s="3">
        <v>24221402913</v>
      </c>
      <c r="C42" s="3">
        <v>285580326143</v>
      </c>
      <c r="D42" s="7">
        <v>-99202435421</v>
      </c>
    </row>
    <row r="43" spans="1:4" x14ac:dyDescent="0.4">
      <c r="A43" s="15" t="s">
        <v>79</v>
      </c>
      <c r="B43" s="3">
        <v>21093402913</v>
      </c>
      <c r="C43" s="3">
        <v>294500261477</v>
      </c>
      <c r="D43" s="7">
        <v>-94773861504</v>
      </c>
    </row>
    <row r="44" spans="1:4" x14ac:dyDescent="0.4">
      <c r="A44" s="15" t="s">
        <v>80</v>
      </c>
      <c r="B44" s="3">
        <v>21093402913</v>
      </c>
      <c r="C44" s="3">
        <v>311707107868</v>
      </c>
      <c r="D44" s="7">
        <v>-103379842675</v>
      </c>
    </row>
    <row r="45" spans="1:4" x14ac:dyDescent="0.4">
      <c r="A45" s="15" t="s">
        <v>81</v>
      </c>
      <c r="B45" s="3">
        <v>28346239161</v>
      </c>
      <c r="C45" s="3">
        <v>-21560166639</v>
      </c>
      <c r="D45" s="11">
        <v>0</v>
      </c>
    </row>
    <row r="46" spans="1:4" x14ac:dyDescent="0.4">
      <c r="A46" s="15" t="s">
        <v>82</v>
      </c>
      <c r="B46" s="3">
        <v>-528650088699</v>
      </c>
      <c r="C46" s="3">
        <v>-154441348430</v>
      </c>
      <c r="D46" s="7">
        <v>773526252740</v>
      </c>
    </row>
    <row r="47" spans="1:4" ht="28.8" x14ac:dyDescent="0.4">
      <c r="A47" s="15" t="s">
        <v>83</v>
      </c>
      <c r="B47" s="3">
        <v>-527623485439</v>
      </c>
      <c r="C47" s="3">
        <v>-153835642589</v>
      </c>
      <c r="D47" s="7">
        <v>775601399277</v>
      </c>
    </row>
    <row r="48" spans="1:4" x14ac:dyDescent="0.4">
      <c r="A48" s="15" t="s">
        <v>84</v>
      </c>
      <c r="B48" s="3">
        <v>-10632351822</v>
      </c>
      <c r="C48" s="3">
        <v>255922070529</v>
      </c>
      <c r="D48" s="7">
        <v>-293096535834</v>
      </c>
    </row>
    <row r="49" spans="1:4" x14ac:dyDescent="0.4">
      <c r="A49" s="15" t="s">
        <v>85</v>
      </c>
      <c r="B49" s="3">
        <v>-215535851</v>
      </c>
      <c r="C49" s="3">
        <v>164573139</v>
      </c>
      <c r="D49" s="7">
        <v>799229351</v>
      </c>
    </row>
    <row r="50" spans="1:4" x14ac:dyDescent="0.4">
      <c r="A50" s="15" t="s">
        <v>86</v>
      </c>
      <c r="B50" s="3">
        <v>89234818175</v>
      </c>
      <c r="C50" s="3">
        <v>81673101910</v>
      </c>
      <c r="D50" s="7">
        <v>2268954585</v>
      </c>
    </row>
    <row r="51" spans="1:4" x14ac:dyDescent="0.4">
      <c r="A51" s="15" t="s">
        <v>87</v>
      </c>
      <c r="B51" s="3">
        <v>-615433169715</v>
      </c>
      <c r="C51" s="3">
        <v>-496420065574</v>
      </c>
      <c r="D51" s="7">
        <v>1079689399584</v>
      </c>
    </row>
    <row r="52" spans="1:4" x14ac:dyDescent="0.4">
      <c r="A52" s="15" t="s">
        <v>88</v>
      </c>
      <c r="B52" s="3">
        <v>9422753774</v>
      </c>
      <c r="C52" s="3">
        <v>4824677407</v>
      </c>
      <c r="D52" s="7">
        <v>-14059648409</v>
      </c>
    </row>
    <row r="53" spans="1:4" ht="28.8" x14ac:dyDescent="0.4">
      <c r="A53" s="15" t="s">
        <v>89</v>
      </c>
      <c r="B53" s="3">
        <v>-1026603260</v>
      </c>
      <c r="C53" s="3">
        <v>-605705841</v>
      </c>
      <c r="D53" s="7">
        <v>-2075146537</v>
      </c>
    </row>
    <row r="54" spans="1:4" x14ac:dyDescent="0.4">
      <c r="A54" s="15" t="s">
        <v>90</v>
      </c>
      <c r="B54" s="3">
        <v>627884847</v>
      </c>
      <c r="C54" s="3">
        <v>2986808968</v>
      </c>
      <c r="D54" s="7">
        <v>-4226302340</v>
      </c>
    </row>
    <row r="55" spans="1:4" x14ac:dyDescent="0.4">
      <c r="A55" s="15" t="s">
        <v>91</v>
      </c>
      <c r="B55" s="5">
        <v>0</v>
      </c>
      <c r="C55" s="3">
        <v>202607</v>
      </c>
      <c r="D55" s="7">
        <v>2026069</v>
      </c>
    </row>
    <row r="56" spans="1:4" x14ac:dyDescent="0.4">
      <c r="A56" s="15" t="s">
        <v>92</v>
      </c>
      <c r="B56" s="3">
        <v>-1654488107</v>
      </c>
      <c r="C56" s="3">
        <v>-3592717416</v>
      </c>
      <c r="D56" s="7">
        <v>2149129734</v>
      </c>
    </row>
    <row r="57" spans="1:4" x14ac:dyDescent="0.4">
      <c r="A57" s="15" t="s">
        <v>93</v>
      </c>
      <c r="B57" s="3">
        <v>-504428685786</v>
      </c>
      <c r="C57" s="3">
        <v>131138977713</v>
      </c>
      <c r="D57" s="7">
        <v>674323817319</v>
      </c>
    </row>
    <row r="58" spans="1:4" x14ac:dyDescent="0.4">
      <c r="A58" s="15" t="s">
        <v>94</v>
      </c>
      <c r="B58" s="5"/>
      <c r="C58" s="5"/>
      <c r="D58" s="11"/>
    </row>
    <row r="59" spans="1:4" x14ac:dyDescent="0.4">
      <c r="A59" s="15" t="s">
        <v>95</v>
      </c>
      <c r="B59" s="5">
        <v>68</v>
      </c>
      <c r="C59" s="5">
        <v>914</v>
      </c>
      <c r="D59" s="11">
        <v>-331</v>
      </c>
    </row>
    <row r="60" spans="1:4" x14ac:dyDescent="0.4">
      <c r="A60" s="16" t="s">
        <v>96</v>
      </c>
      <c r="B60" s="8">
        <v>68</v>
      </c>
      <c r="C60" s="8">
        <v>914</v>
      </c>
      <c r="D60" s="17">
        <v>-331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E50"/>
  <sheetViews>
    <sheetView zoomScaleNormal="100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E15" sqref="E15"/>
    </sheetView>
  </sheetViews>
  <sheetFormatPr defaultRowHeight="17.399999999999999" x14ac:dyDescent="0.4"/>
  <cols>
    <col min="1" max="1" width="22.796875" bestFit="1" customWidth="1"/>
    <col min="2" max="5" width="10.796875" bestFit="1" customWidth="1"/>
  </cols>
  <sheetData>
    <row r="1" spans="1:5" ht="39.6" x14ac:dyDescent="0.4">
      <c r="A1" s="19" t="s">
        <v>97</v>
      </c>
    </row>
    <row r="2" spans="1:5" x14ac:dyDescent="0.4">
      <c r="A2" s="18"/>
    </row>
    <row r="3" spans="1:5" ht="105.6" x14ac:dyDescent="0.4">
      <c r="A3" s="19" t="s">
        <v>98</v>
      </c>
    </row>
    <row r="4" spans="1:5" x14ac:dyDescent="0.4">
      <c r="A4" s="18"/>
    </row>
    <row r="5" spans="1:5" x14ac:dyDescent="0.4">
      <c r="A5" s="19" t="s">
        <v>99</v>
      </c>
      <c r="B5" s="30"/>
      <c r="C5" s="30"/>
      <c r="D5" s="30"/>
      <c r="E5" s="30"/>
    </row>
    <row r="6" spans="1:5" x14ac:dyDescent="0.4">
      <c r="A6" s="27" t="s">
        <v>100</v>
      </c>
      <c r="B6" s="28"/>
      <c r="C6" s="28"/>
      <c r="D6" s="28"/>
      <c r="E6" s="29"/>
    </row>
    <row r="7" spans="1:5" x14ac:dyDescent="0.4">
      <c r="A7" s="20" t="s">
        <v>101</v>
      </c>
      <c r="B7" s="1" t="s">
        <v>102</v>
      </c>
      <c r="C7" s="1" t="s">
        <v>103</v>
      </c>
      <c r="D7" s="1" t="s">
        <v>104</v>
      </c>
      <c r="E7" s="21" t="s">
        <v>105</v>
      </c>
    </row>
    <row r="8" spans="1:5" ht="16.95" customHeight="1" x14ac:dyDescent="0.4">
      <c r="A8" s="15" t="s">
        <v>106</v>
      </c>
      <c r="B8" s="4"/>
      <c r="C8" s="4"/>
      <c r="D8" s="4"/>
      <c r="E8" s="22"/>
    </row>
    <row r="9" spans="1:5" x14ac:dyDescent="0.4">
      <c r="A9" s="15" t="s">
        <v>107</v>
      </c>
      <c r="B9" s="3">
        <v>1674680</v>
      </c>
      <c r="C9" s="5" t="s">
        <v>108</v>
      </c>
      <c r="D9" s="5" t="s">
        <v>108</v>
      </c>
      <c r="E9" s="7">
        <v>1674680</v>
      </c>
    </row>
    <row r="10" spans="1:5" ht="28.8" x14ac:dyDescent="0.4">
      <c r="A10" s="15" t="s">
        <v>109</v>
      </c>
      <c r="B10" s="3">
        <v>1071239</v>
      </c>
      <c r="C10" s="5" t="s">
        <v>108</v>
      </c>
      <c r="D10" s="5" t="s">
        <v>108</v>
      </c>
      <c r="E10" s="7">
        <v>1071239</v>
      </c>
    </row>
    <row r="11" spans="1:5" x14ac:dyDescent="0.4">
      <c r="A11" s="15" t="s">
        <v>110</v>
      </c>
      <c r="B11" s="3">
        <v>27297</v>
      </c>
      <c r="C11" s="5" t="s">
        <v>108</v>
      </c>
      <c r="D11" s="5" t="s">
        <v>108</v>
      </c>
      <c r="E11" s="7">
        <v>27297</v>
      </c>
    </row>
    <row r="12" spans="1:5" x14ac:dyDescent="0.4">
      <c r="A12" s="15" t="s">
        <v>111</v>
      </c>
      <c r="B12" s="3">
        <v>225448</v>
      </c>
      <c r="C12" s="5" t="s">
        <v>108</v>
      </c>
      <c r="D12" s="5" t="s">
        <v>108</v>
      </c>
      <c r="E12" s="7">
        <v>225448</v>
      </c>
    </row>
    <row r="13" spans="1:5" x14ac:dyDescent="0.4">
      <c r="A13" s="15" t="s">
        <v>112</v>
      </c>
      <c r="B13" s="3">
        <v>350696</v>
      </c>
      <c r="C13" s="5" t="s">
        <v>108</v>
      </c>
      <c r="D13" s="5" t="s">
        <v>108</v>
      </c>
      <c r="E13" s="7">
        <v>350696</v>
      </c>
    </row>
    <row r="14" spans="1:5" ht="28.8" x14ac:dyDescent="0.4">
      <c r="A14" s="15" t="s">
        <v>113</v>
      </c>
      <c r="B14" s="5" t="s">
        <v>108</v>
      </c>
      <c r="C14" s="3">
        <v>172363</v>
      </c>
      <c r="D14" s="3">
        <v>130174</v>
      </c>
      <c r="E14" s="7">
        <v>302537</v>
      </c>
    </row>
    <row r="15" spans="1:5" x14ac:dyDescent="0.4">
      <c r="A15" s="23" t="s">
        <v>114</v>
      </c>
      <c r="B15" s="3">
        <v>1674680</v>
      </c>
      <c r="C15" s="3">
        <v>172363</v>
      </c>
      <c r="D15" s="3">
        <v>130174</v>
      </c>
      <c r="E15" s="7">
        <v>1977217</v>
      </c>
    </row>
    <row r="16" spans="1:5" x14ac:dyDescent="0.4">
      <c r="A16" s="15" t="s">
        <v>115</v>
      </c>
      <c r="B16" s="4"/>
      <c r="C16" s="4"/>
      <c r="D16" s="4"/>
      <c r="E16" s="22"/>
    </row>
    <row r="17" spans="1:5" ht="28.8" x14ac:dyDescent="0.4">
      <c r="A17" s="15" t="s">
        <v>116</v>
      </c>
      <c r="B17" s="3">
        <v>1068374</v>
      </c>
      <c r="C17" s="3">
        <v>102009</v>
      </c>
      <c r="D17" s="3">
        <v>138131</v>
      </c>
      <c r="E17" s="7">
        <v>1308514</v>
      </c>
    </row>
    <row r="18" spans="1:5" x14ac:dyDescent="0.4">
      <c r="A18" s="15" t="s">
        <v>112</v>
      </c>
      <c r="B18" s="3">
        <v>350696</v>
      </c>
      <c r="C18" s="3">
        <v>18713</v>
      </c>
      <c r="D18" s="3">
        <v>21364</v>
      </c>
      <c r="E18" s="7">
        <v>390773</v>
      </c>
    </row>
    <row r="19" spans="1:5" ht="28.8" x14ac:dyDescent="0.4">
      <c r="A19" s="15" t="s">
        <v>117</v>
      </c>
      <c r="B19" s="3">
        <v>-4763</v>
      </c>
      <c r="C19" s="3">
        <v>-7158</v>
      </c>
      <c r="D19" s="3">
        <v>1405</v>
      </c>
      <c r="E19" s="7">
        <v>-10516</v>
      </c>
    </row>
    <row r="20" spans="1:5" x14ac:dyDescent="0.4">
      <c r="A20" s="15" t="s">
        <v>118</v>
      </c>
      <c r="B20" s="3">
        <v>20771</v>
      </c>
      <c r="C20" s="3">
        <v>-10086</v>
      </c>
      <c r="D20" s="3">
        <v>-20487</v>
      </c>
      <c r="E20" s="7">
        <v>-9802</v>
      </c>
    </row>
    <row r="21" spans="1:5" x14ac:dyDescent="0.4">
      <c r="A21" s="24" t="s">
        <v>119</v>
      </c>
      <c r="B21" s="3">
        <v>1435078</v>
      </c>
      <c r="C21" s="3">
        <v>103478</v>
      </c>
      <c r="D21" s="3">
        <v>140413</v>
      </c>
      <c r="E21" s="7">
        <v>1678969</v>
      </c>
    </row>
    <row r="22" spans="1:5" x14ac:dyDescent="0.4">
      <c r="A22" s="25" t="s">
        <v>120</v>
      </c>
      <c r="B22" s="4"/>
      <c r="C22" s="4"/>
      <c r="D22" s="4"/>
      <c r="E22" s="22"/>
    </row>
    <row r="23" spans="1:5" ht="28.8" x14ac:dyDescent="0.4">
      <c r="A23" s="25" t="s">
        <v>121</v>
      </c>
      <c r="B23" s="3">
        <v>48827</v>
      </c>
      <c r="C23" s="3">
        <v>27297</v>
      </c>
      <c r="D23" s="3">
        <v>5255</v>
      </c>
      <c r="E23" s="7">
        <v>81379</v>
      </c>
    </row>
    <row r="24" spans="1:5" x14ac:dyDescent="0.4">
      <c r="A24" s="25" t="s">
        <v>122</v>
      </c>
      <c r="B24" s="3">
        <v>-7001</v>
      </c>
      <c r="C24" s="3">
        <v>-4590</v>
      </c>
      <c r="D24" s="5">
        <v>-655</v>
      </c>
      <c r="E24" s="7">
        <v>-12246</v>
      </c>
    </row>
    <row r="25" spans="1:5" x14ac:dyDescent="0.4">
      <c r="A25" s="25" t="s">
        <v>118</v>
      </c>
      <c r="B25" s="3">
        <v>-6092</v>
      </c>
      <c r="C25" s="3">
        <v>-13484</v>
      </c>
      <c r="D25" s="3">
        <v>-2463</v>
      </c>
      <c r="E25" s="7">
        <v>-22039</v>
      </c>
    </row>
    <row r="26" spans="1:5" x14ac:dyDescent="0.4">
      <c r="A26" s="24" t="s">
        <v>123</v>
      </c>
      <c r="B26" s="3">
        <v>35734</v>
      </c>
      <c r="C26" s="3">
        <v>9223</v>
      </c>
      <c r="D26" s="3">
        <v>2137</v>
      </c>
      <c r="E26" s="7">
        <v>47094</v>
      </c>
    </row>
    <row r="27" spans="1:5" x14ac:dyDescent="0.4">
      <c r="A27" s="25" t="s">
        <v>124</v>
      </c>
      <c r="B27" s="4"/>
      <c r="C27" s="4"/>
      <c r="D27" s="4"/>
      <c r="E27" s="22"/>
    </row>
    <row r="28" spans="1:5" x14ac:dyDescent="0.4">
      <c r="A28" s="25" t="s">
        <v>125</v>
      </c>
      <c r="B28" s="3">
        <v>51803</v>
      </c>
      <c r="C28" s="5" t="s">
        <v>108</v>
      </c>
      <c r="D28" s="5" t="s">
        <v>108</v>
      </c>
      <c r="E28" s="7">
        <v>51803</v>
      </c>
    </row>
    <row r="29" spans="1:5" ht="28.8" x14ac:dyDescent="0.4">
      <c r="A29" s="25" t="s">
        <v>126</v>
      </c>
      <c r="B29" s="3">
        <v>47754</v>
      </c>
      <c r="C29" s="5" t="s">
        <v>108</v>
      </c>
      <c r="D29" s="5" t="s">
        <v>108</v>
      </c>
      <c r="E29" s="7">
        <v>47754</v>
      </c>
    </row>
    <row r="30" spans="1:5" x14ac:dyDescent="0.4">
      <c r="A30" s="25" t="s">
        <v>110</v>
      </c>
      <c r="B30" s="3">
        <v>1060</v>
      </c>
      <c r="C30" s="5" t="s">
        <v>108</v>
      </c>
      <c r="D30" s="5" t="s">
        <v>108</v>
      </c>
      <c r="E30" s="7">
        <v>1060</v>
      </c>
    </row>
    <row r="31" spans="1:5" x14ac:dyDescent="0.4">
      <c r="A31" s="25" t="s">
        <v>111</v>
      </c>
      <c r="B31" s="3">
        <v>2989</v>
      </c>
      <c r="C31" s="5" t="s">
        <v>108</v>
      </c>
      <c r="D31" s="5" t="s">
        <v>108</v>
      </c>
      <c r="E31" s="7">
        <v>2989</v>
      </c>
    </row>
    <row r="32" spans="1:5" ht="28.8" x14ac:dyDescent="0.4">
      <c r="A32" s="25" t="s">
        <v>127</v>
      </c>
      <c r="B32" s="5">
        <v>551</v>
      </c>
      <c r="C32" s="3">
        <v>80912</v>
      </c>
      <c r="D32" s="3">
        <v>3008</v>
      </c>
      <c r="E32" s="7">
        <v>84471</v>
      </c>
    </row>
    <row r="33" spans="1:5" x14ac:dyDescent="0.4">
      <c r="A33" s="26" t="s">
        <v>128</v>
      </c>
      <c r="B33" s="9">
        <v>52354</v>
      </c>
      <c r="C33" s="9">
        <v>80912</v>
      </c>
      <c r="D33" s="9">
        <v>3008</v>
      </c>
      <c r="E33" s="10">
        <v>136274</v>
      </c>
    </row>
    <row r="50" spans="5:5" x14ac:dyDescent="0.4">
      <c r="E50" s="2" t="e">
        <f>SUM(E2:E7,E17:E19)-SUM(E8:E16)+SUM(#REF!)</f>
        <v>#REF!</v>
      </c>
    </row>
  </sheetData>
  <mergeCells count="1">
    <mergeCell ref="A6:E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포괄손익계산서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2026-06-04T06:16:23Z</dcterms:modified>
</cp:coreProperties>
</file>