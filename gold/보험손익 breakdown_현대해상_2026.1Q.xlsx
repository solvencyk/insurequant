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C04EAACE-114E-414A-B948-23D53C65A5C8}" xr6:coauthVersionLast="47" xr6:coauthVersionMax="47" xr10:uidLastSave="{00000000-0000-0000-0000-000000000000}"/>
  <bookViews>
    <workbookView xWindow="-96" yWindow="0" windowWidth="23232" windowHeight="18576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H15" i="4"/>
  <c r="H14" i="4"/>
  <c r="H12" i="4"/>
  <c r="H11" i="4"/>
  <c r="H10" i="4"/>
  <c r="H9" i="4"/>
  <c r="H7" i="4"/>
  <c r="H4" i="4"/>
  <c r="H6" i="4"/>
  <c r="H5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<sst xmlns="http://schemas.openxmlformats.org/spreadsheetml/2006/main" count="244" uniqueCount="80">
  <si>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</si>
  <si>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</si>
  <si>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</si>
  <si>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</si>
  <si>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</si>
  <si>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</si>
  <si>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</si>
  <si>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</si>
  <si>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</si>
  <si>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</si>
  <si>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</si>
  <si>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</si>
  <si>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</si>
  <si>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</si>
  <si>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</si>
  <si>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</si>
  <si>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</si>
  <si>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</si>
  <si>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</si>
  <si>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</si>
  <si>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</si>
  <si>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</si>
  <si>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</si>
  <si>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</si>
  <si>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</si>
  <si>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</si>
  <si>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</si>
  <si>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</si>
  <si>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</si>
  <si>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</si>
  <si>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</si>
  <si>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</si>
  <si>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</si>
  <si>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</si>
  <si>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</si>
  <si>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발행보험의 보험수익 분석 공시</t>
  </si>
  <si>
    <t>보험계약의 세분</t>
  </si>
  <si>
    <t>발행한 보험계약</t>
  </si>
  <si>
    <t>보험계약</t>
  </si>
  <si>
    <t>보험료배분접근법을 적용한 보험계약 외의 보험계약</t>
  </si>
  <si>
    <t>보험료배분접근법을 적용한 보험계약</t>
  </si>
  <si>
    <t>계약의 유형</t>
  </si>
  <si>
    <t>계약의 유형  합계</t>
  </si>
  <si>
    <t>장기보험</t>
  </si>
  <si>
    <t>일반보험</t>
  </si>
  <si>
    <t>자동차보험</t>
  </si>
  <si>
    <t>보험수익, 보고기간에 발생한 보험서비스비용 (기초 예상 측정치)</t>
  </si>
  <si>
    <t>보험수익, 비금융위험에 대한 위험조정의 변동분</t>
  </si>
  <si>
    <t>보험수익, 서비스의 이전으로 당기손익에 인식한 보험계약마진</t>
  </si>
  <si>
    <t>보험수익, 보험취득 현금흐름의 회수와 관련되는 보험료 부분의 배분액</t>
  </si>
  <si>
    <t>보험수익</t>
  </si>
  <si>
    <t>발행보험의 보험서비스비용 분석 공시</t>
  </si>
  <si>
    <t>보유 재보험계약</t>
  </si>
  <si>
    <t>재보험비용 분석 공시</t>
  </si>
  <si>
    <t>재보험비용, 보고기간에 발생한 보험서비스비용 (기초 예상 측정치)</t>
  </si>
  <si>
    <t>재보험비용, 비금융위험에 대한 위험조정의 변동분</t>
  </si>
  <si>
    <t>재보험비용, 서비스의 이전으로 당기손익에 인식한 보험계약마진</t>
  </si>
  <si>
    <t>재보험비용, 그 밖의 금액</t>
  </si>
  <si>
    <t>KR0009</t>
    <phoneticPr fontId="2" type="noConversion"/>
  </si>
  <si>
    <t>현대해상</t>
    <phoneticPr fontId="2" type="noConversion"/>
  </si>
  <si>
    <t>2026.1Q</t>
    <phoneticPr fontId="2" type="noConversion"/>
  </si>
  <si>
    <t>20. 보험서비스결과</t>
  </si>
  <si>
    <t>당분기</t>
  </si>
  <si>
    <t>(단위 : 원)</t>
  </si>
  <si>
    <t>발행보험의 보험수익 분석 공시, 보험료배분접근법을 적용한 보험계약</t>
  </si>
  <si>
    <t>발행보험의 보험수익 분석 공시, 합계</t>
  </si>
  <si>
    <t>발생한 보험금 및 그 밖의 발생한 보험서비스비용에 따른 증가분(감소분), 보험계약부채(자산)</t>
  </si>
  <si>
    <t>보험취득 현금흐름의 상각에 따른 증가분(감소분), 보험계약부채(자산)</t>
  </si>
  <si>
    <t>과거 서비스와 관련된 변동분에 따른 증가분(감소분), 보험계약부채(자산)</t>
  </si>
  <si>
    <t>미래 서비스와 관련된 변동분에 따른 증가분(감소분), 보험계약마진</t>
  </si>
  <si>
    <t>보험서비스 비용에 따른 총 증가분(감소분), 보험계약부채(자산)</t>
  </si>
  <si>
    <t>21. 재보험서비스결과</t>
  </si>
  <si>
    <t>재보험계약에 대해 인식한 재보험수익의 내역</t>
  </si>
  <si>
    <t>발생한 보험금 및 그 밖의 발생한 재보험수익에 따른 증가분(감소분), 재보험계약부채(자산)</t>
  </si>
  <si>
    <t>과거 서비스와 관련된 변동분에 따른 증가분(감소분), 재보험계약부채(자산)</t>
  </si>
  <si>
    <t>미래 서비스와 관련된 변동분에 따른 증가분(감소분), 재보험계약부채(자산)</t>
  </si>
  <si>
    <t>재보험수익에 따른 총 증가분(감소분), 재보험계약부채(자산)</t>
  </si>
  <si>
    <t>재보험비용 분석 공시, 보험료배분접근법을 적용한 보험계약</t>
  </si>
  <si>
    <t>재보험서비스비용</t>
  </si>
  <si>
    <t>재보험비용 분석 공시,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</si>
</sst>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0" fillId="0" borderId="0" xfId="0" applyAlignment="1"/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XFD25"/>
  <sheetViews>
    <sheetView tabSelected="1" workbookViewId="0"/>
  </sheetViews>
  <sheetFormatPr defaultRowHeight="17.399999999999999" x14ac:dyDescent="0.4"/>
  <cols>
    <col min="5" max="5" width="9.19921875" bestFit="1" customWidth="1"/>
    <col min="6" max="6" width="20.8984375" bestFit="1" customWidth="1"/>
    <col min="8" max="8" width="17.296875" bestFit="1" customWidth="1"/>
  </cols>
  <sheetData>
    <row r="1" spans="1:12 16384:16384" x14ac:dyDescent="0.4">
      <c r="A1" s="7" t="s">
        <v>21</v>
      </c>
      <c r="B1" s="7" t="s">
        <v>20</v>
      </c>
      <c r="C1" s="7" t="s">
        <v>19</v>
      </c>
      <c r="D1" s="7" t="s">
        <v>18</v>
      </c>
      <c r="E1" s="7" t="s">
        <v>17</v>
      </c>
      <c r="F1" s="7" t="s">
        <v>16</v>
      </c>
      <c r="G1" s="7" t="s">
        <v>0</v>
      </c>
      <c r="H1" s="7" t="s">
        <v>15</v>
      </c>
      <c r="I1" s="7" t="s">
        <v>22</v>
      </c>
    </row>
    <row r="2" spans="1:12 16384:16384" x14ac:dyDescent="0.4">
      <c r="A2" s="7" t="s">
        <v>58</v>
      </c>
      <c r="B2" s="7" t="s">
        <v>59</v>
      </c>
      <c r="C2" s="7"/>
      <c r="D2" s="7" t="s">
        <v>3</v>
      </c>
      <c r="E2" s="7">
        <v>1</v>
      </c>
      <c r="F2" t="s">
        <v>14</v>
      </c>
      <c r="G2" s="7" t="s">
        <v>60</v>
      </c>
      <c r="H2" s="1">
        <f>H3+H14+H15+H16-H17</f>
        <v>302065.359795</v>
      </c>
      <c r="I2" s="1" t="b">
        <f>ABS(ROUND(H2,0)-302065)&lt;2</f>
        <v>1</v>
      </c>
      <c r="L2" s="1"/>
    </row>
    <row r="3" spans="1:12 16384:16384" x14ac:dyDescent="0.4">
      <c r="A3" s="7" t="s">
        <v>58</v>
      </c>
      <c r="B3" s="7" t="s">
        <v>59</v>
      </c>
      <c r="C3" s="7"/>
      <c r="D3" s="7" t="s">
        <v>3</v>
      </c>
      <c r="E3">
        <f t="shared" ref="E3" si="0">E2+1</f>
        <v>2</v>
      </c>
      <c r="F3" t="s">
        <v>23</v>
      </c>
      <c r="G3" t="s">
        <v>60</v>
      </c>
      <c r="H3" s="1">
        <f>H4+H9</f>
        <v>273309.257132</v>
      </c>
    </row>
    <row r="4" spans="1:12 16384:16384" x14ac:dyDescent="0.4">
      <c r="A4" s="7" t="s">
        <v>58</v>
      </c>
      <c r="B4" s="7" t="s">
        <v>59</v>
      </c>
      <c r="C4" s="7"/>
      <c r="D4" s="7" t="s">
        <v>3</v>
      </c>
      <c r="E4">
        <f t="shared" ref="E4:E7" si="1">E3+1</f>
        <v>3</v>
      </c>
      <c r="F4" t="s">
        <v>24</v>
      </c>
      <c r="G4" t="s">
        <v>60</v>
      </c>
      <c r="H4" s="1">
        <f>(보험손익!B35-SUM(보험손익!B49))/1000000</f>
        <v>279302.33857299999</v>
      </c>
      <c r="I4" s="1"/>
    </row>
    <row r="5" spans="1:12 16384:16384" x14ac:dyDescent="0.4">
      <c r="A5" s="7" t="s">
        <v>58</v>
      </c>
      <c r="B5" s="7" t="s">
        <v>59</v>
      </c>
      <c r="C5" s="7"/>
      <c r="D5" s="7" t="s">
        <v>3</v>
      </c>
      <c r="E5">
        <f t="shared" si="1"/>
        <v>4</v>
      </c>
      <c r="F5" t="s">
        <v>27</v>
      </c>
      <c r="G5" t="s">
        <v>60</v>
      </c>
      <c r="H5" s="1">
        <f>보험손익!B14/1000000</f>
        <v>241253.066548</v>
      </c>
      <c r="K5" s="1"/>
    </row>
    <row r="6" spans="1:12 16384:16384" x14ac:dyDescent="0.4">
      <c r="A6" s="7" t="s">
        <v>58</v>
      </c>
      <c r="B6" s="7" t="s">
        <v>59</v>
      </c>
      <c r="C6" s="7"/>
      <c r="D6" s="7" t="s">
        <v>3</v>
      </c>
      <c r="E6">
        <f t="shared" si="1"/>
        <v>5</v>
      </c>
      <c r="F6" t="s">
        <v>28</v>
      </c>
      <c r="G6" t="s">
        <v>60</v>
      </c>
      <c r="H6" s="1">
        <f>보험손익!B13/1000000</f>
        <v>37321.916555999996</v>
      </c>
      <c r="K6" s="1"/>
    </row>
    <row r="7" spans="1:12 16384:16384" x14ac:dyDescent="0.4">
      <c r="A7" s="7" t="s">
        <v>58</v>
      </c>
      <c r="B7" s="7" t="s">
        <v>59</v>
      </c>
      <c r="C7" s="7"/>
      <c r="D7" s="7" t="s">
        <v>3</v>
      </c>
      <c r="E7">
        <f t="shared" si="1"/>
        <v>6</v>
      </c>
      <c r="F7" t="s">
        <v>29</v>
      </c>
      <c r="G7" t="s">
        <v>60</v>
      </c>
      <c r="H7" s="1">
        <f>(보험손익!B12-보험손익!B45)/1000000</f>
        <v>-126864.570461</v>
      </c>
      <c r="K7" s="1"/>
    </row>
    <row r="8" spans="1:12 16384:16384" x14ac:dyDescent="0.4">
      <c r="A8" s="7" t="s">
        <v>58</v>
      </c>
      <c r="B8" s="7" t="s">
        <v>59</v>
      </c>
      <c r="C8" s="7"/>
      <c r="D8" s="7" t="s">
        <v>26</v>
      </c>
      <c r="E8">
        <f t="shared" ref="E8:E25" si="2">E7+1</f>
        <v>7</v>
      </c>
      <c r="F8" t="s">
        <v>30</v>
      </c>
      <c r="G8" t="s">
        <v>60</v>
      </c>
      <c r="H8" s="1">
        <f>H4-SUM(H5:H7)</f>
        <v>127591.92593</v>
      </c>
      <c r="K8" s="1"/>
    </row>
    <row r="9" spans="1:12 16384:16384" x14ac:dyDescent="0.4">
      <c r="A9" s="7" t="s">
        <v>58</v>
      </c>
      <c r="B9" s="7" t="s">
        <v>59</v>
      </c>
      <c r="C9" s="7"/>
      <c r="D9" s="7" t="s">
        <v>26</v>
      </c>
      <c r="E9">
        <f t="shared" si="2"/>
        <v>8</v>
      </c>
      <c r="F9" t="s">
        <v>25</v>
      </c>
      <c r="G9" t="s">
        <v>60</v>
      </c>
      <c r="H9" s="1">
        <f>(보험손익!B64-보험손익!B97)/1000000</f>
        <v>-5993.0814410000003</v>
      </c>
      <c r="K9" s="1"/>
    </row>
    <row r="10" spans="1:12 16384:16384" x14ac:dyDescent="0.4">
      <c r="A10" s="7" t="s">
        <v>58</v>
      </c>
      <c r="B10" s="7" t="s">
        <v>59</v>
      </c>
      <c r="C10" s="7"/>
      <c r="D10" s="7" t="s">
        <v>26</v>
      </c>
      <c r="E10">
        <f t="shared" si="2"/>
        <v>9</v>
      </c>
      <c r="F10" t="s">
        <v>31</v>
      </c>
      <c r="G10" t="s">
        <v>60</v>
      </c>
      <c r="H10" s="1">
        <f>-보험손익!B76/1000000</f>
        <v>-3441.76746</v>
      </c>
      <c r="K10" s="1"/>
    </row>
    <row r="11" spans="1:12 16384:16384" x14ac:dyDescent="0.4">
      <c r="A11" s="7" t="s">
        <v>58</v>
      </c>
      <c r="B11" s="7" t="s">
        <v>59</v>
      </c>
      <c r="C11" s="7"/>
      <c r="D11" s="7" t="s">
        <v>26</v>
      </c>
      <c r="E11">
        <f t="shared" si="2"/>
        <v>10</v>
      </c>
      <c r="F11" t="s">
        <v>32</v>
      </c>
      <c r="G11" t="s">
        <v>60</v>
      </c>
      <c r="H11" s="1">
        <f>-보험손익!B75/1000000</f>
        <v>-122.929067</v>
      </c>
      <c r="K11" s="1"/>
    </row>
    <row r="12" spans="1:12 16384:16384" x14ac:dyDescent="0.4">
      <c r="A12" s="7" t="s">
        <v>58</v>
      </c>
      <c r="B12" s="7" t="s">
        <v>59</v>
      </c>
      <c r="C12" s="7"/>
      <c r="D12" s="7" t="s">
        <v>26</v>
      </c>
      <c r="E12">
        <f t="shared" si="2"/>
        <v>11</v>
      </c>
      <c r="F12" t="s">
        <v>33</v>
      </c>
      <c r="G12" t="s">
        <v>60</v>
      </c>
      <c r="H12" s="1">
        <f>(보험손익!B61-보험손익!B74)/1000000</f>
        <v>2075.3321839999999</v>
      </c>
      <c r="K12" s="1"/>
    </row>
    <row r="13" spans="1:12 16384:16384" x14ac:dyDescent="0.4">
      <c r="A13" s="7" t="s">
        <v>58</v>
      </c>
      <c r="B13" s="7" t="s">
        <v>59</v>
      </c>
      <c r="C13" s="7"/>
      <c r="D13" s="7" t="s">
        <v>26</v>
      </c>
      <c r="E13">
        <f t="shared" si="2"/>
        <v>12</v>
      </c>
      <c r="F13" t="s">
        <v>34</v>
      </c>
      <c r="G13" t="s">
        <v>60</v>
      </c>
      <c r="H13" s="1">
        <f>H9-SUM(H10:H12)</f>
        <v>-4503.7170980000001</v>
      </c>
      <c r="K13" s="1"/>
    </row>
    <row r="14" spans="1:12 16384:16384" x14ac:dyDescent="0.4">
      <c r="A14" s="7" t="s">
        <v>58</v>
      </c>
      <c r="B14" s="7" t="s">
        <v>59</v>
      </c>
      <c r="C14" s="7"/>
      <c r="D14" s="7" t="s">
        <v>26</v>
      </c>
      <c r="E14">
        <f t="shared" si="2"/>
        <v>13</v>
      </c>
      <c r="F14" t="s">
        <v>13</v>
      </c>
      <c r="G14" t="s">
        <v>60</v>
      </c>
      <c r="H14" s="1">
        <f>(보험손익!C35-보험손익!C49+보험손익!C64-보험손익!C97)/1000000</f>
        <v>-10891.093423</v>
      </c>
      <c r="I14" s="1"/>
      <c r="XFD14" s="1"/>
    </row>
    <row r="15" spans="1:12 16384:16384" x14ac:dyDescent="0.4">
      <c r="A15" s="7" t="s">
        <v>58</v>
      </c>
      <c r="B15" s="7" t="s">
        <v>59</v>
      </c>
      <c r="C15" s="7"/>
      <c r="D15" s="7" t="s">
        <v>3</v>
      </c>
      <c r="E15">
        <f t="shared" si="2"/>
        <v>14</v>
      </c>
      <c r="F15" t="s">
        <v>12</v>
      </c>
      <c r="G15" t="s">
        <v>60</v>
      </c>
      <c r="H15" s="1">
        <f>(보험손익!D35-보험손익!D49+보험손익!D64-보험손익!D97)/1000000</f>
        <v>53726.460040999998</v>
      </c>
      <c r="I15" s="1"/>
    </row>
    <row r="16" spans="1:12 16384:16384" x14ac:dyDescent="0.4">
      <c r="A16" s="7" t="s">
        <v>58</v>
      </c>
      <c r="B16" s="7" t="s">
        <v>59</v>
      </c>
      <c r="C16" s="7"/>
      <c r="D16" s="7" t="s">
        <v>3</v>
      </c>
      <c r="E16">
        <f t="shared" si="2"/>
        <v>15</v>
      </c>
      <c r="F16" t="s">
        <v>8</v>
      </c>
      <c r="G16" t="s">
        <v>60</v>
      </c>
      <c r="H16" s="1"/>
    </row>
    <row r="17" spans="1:9" x14ac:dyDescent="0.4">
      <c r="A17" s="7" t="s">
        <v>58</v>
      </c>
      <c r="B17" s="7" t="s">
        <v>59</v>
      </c>
      <c r="C17" s="7"/>
      <c r="D17" s="7" t="s">
        <v>3</v>
      </c>
      <c r="E17">
        <f t="shared" si="2"/>
        <v>16</v>
      </c>
      <c r="F17" t="s">
        <v>7</v>
      </c>
      <c r="G17" t="s">
        <v>60</v>
      </c>
      <c r="H17" s="1">
        <v>14079.263955</v>
      </c>
    </row>
    <row r="18" spans="1:9" x14ac:dyDescent="0.4">
      <c r="A18" s="7" t="s">
        <v>58</v>
      </c>
      <c r="B18" s="7" t="s">
        <v>59</v>
      </c>
      <c r="C18" s="7"/>
      <c r="D18" s="7" t="s">
        <v>3</v>
      </c>
      <c r="E18">
        <f t="shared" si="2"/>
        <v>17</v>
      </c>
      <c r="F18" t="s">
        <v>11</v>
      </c>
      <c r="G18" t="s">
        <v>60</v>
      </c>
      <c r="H18" s="1"/>
    </row>
    <row r="19" spans="1:9" x14ac:dyDescent="0.4">
      <c r="A19" s="7" t="s">
        <v>58</v>
      </c>
      <c r="B19" s="7" t="s">
        <v>59</v>
      </c>
      <c r="C19" s="7"/>
      <c r="D19" s="7" t="s">
        <v>3</v>
      </c>
      <c r="E19">
        <f t="shared" si="2"/>
        <v>18</v>
      </c>
      <c r="F19" t="s">
        <v>10</v>
      </c>
      <c r="G19" t="s">
        <v>60</v>
      </c>
      <c r="H19" s="1"/>
    </row>
    <row r="20" spans="1:9" x14ac:dyDescent="0.4">
      <c r="A20" s="7" t="s">
        <v>58</v>
      </c>
      <c r="B20" s="7" t="s">
        <v>59</v>
      </c>
      <c r="C20" s="7"/>
      <c r="D20" s="7" t="s">
        <v>3</v>
      </c>
      <c r="E20">
        <f t="shared" si="2"/>
        <v>19</v>
      </c>
      <c r="F20" t="s">
        <v>9</v>
      </c>
      <c r="G20" t="s">
        <v>60</v>
      </c>
      <c r="H20" s="1"/>
    </row>
    <row r="21" spans="1:9" x14ac:dyDescent="0.4">
      <c r="A21" s="7" t="s">
        <v>58</v>
      </c>
      <c r="B21" s="7" t="s">
        <v>59</v>
      </c>
      <c r="C21" s="7"/>
      <c r="D21" s="7" t="s">
        <v>3</v>
      </c>
      <c r="E21">
        <f t="shared" si="2"/>
        <v>20</v>
      </c>
      <c r="F21" t="s">
        <v>1</v>
      </c>
      <c r="G21" t="s">
        <v>60</v>
      </c>
      <c r="H21" s="1"/>
    </row>
    <row r="22" spans="1:9" x14ac:dyDescent="0.4">
      <c r="A22" s="7" t="s">
        <v>58</v>
      </c>
      <c r="B22" s="7" t="s">
        <v>59</v>
      </c>
      <c r="C22" s="7"/>
      <c r="D22" s="7" t="s">
        <v>3</v>
      </c>
      <c r="E22">
        <f t="shared" si="2"/>
        <v>21</v>
      </c>
      <c r="F22" t="s">
        <v>6</v>
      </c>
      <c r="G22" t="s">
        <v>60</v>
      </c>
      <c r="H22" s="1"/>
    </row>
    <row r="23" spans="1:9" x14ac:dyDescent="0.4">
      <c r="A23" s="7" t="s">
        <v>58</v>
      </c>
      <c r="B23" s="7" t="s">
        <v>59</v>
      </c>
      <c r="C23" s="7"/>
      <c r="D23" s="7" t="s">
        <v>3</v>
      </c>
      <c r="E23">
        <f t="shared" si="2"/>
        <v>22</v>
      </c>
      <c r="F23" t="s">
        <v>5</v>
      </c>
      <c r="G23" t="s">
        <v>60</v>
      </c>
      <c r="H23" s="1"/>
    </row>
    <row r="24" spans="1:9" x14ac:dyDescent="0.4">
      <c r="A24" s="7" t="s">
        <v>58</v>
      </c>
      <c r="B24" s="7" t="s">
        <v>59</v>
      </c>
      <c r="C24" s="7"/>
      <c r="D24" s="7" t="s">
        <v>3</v>
      </c>
      <c r="E24">
        <f t="shared" si="2"/>
        <v>23</v>
      </c>
      <c r="F24" t="s">
        <v>4</v>
      </c>
      <c r="G24" t="s">
        <v>60</v>
      </c>
      <c r="H24" s="1"/>
    </row>
    <row r="25" spans="1:9" x14ac:dyDescent="0.4">
      <c r="A25" s="7" t="s">
        <v>58</v>
      </c>
      <c r="B25" s="7" t="s">
        <v>59</v>
      </c>
      <c r="C25" s="7"/>
      <c r="D25" s="7" t="s">
        <v>3</v>
      </c>
      <c r="E25">
        <f t="shared" si="2"/>
        <v>24</v>
      </c>
      <c r="F25" t="s">
        <v>2</v>
      </c>
      <c r="G25" t="s">
        <v>60</v>
      </c>
      <c r="H25" s="1"/>
      <c r="I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E98"/>
  <sheetViews>
    <sheetView zoomScaleNormal="100" workbookViewId="0">
      <pane xSplit="1" ySplit="1" topLeftCell="B77" activePane="bottomRight" state="frozen"/>
      <selection pane="topRight" activeCell="D1" sqref="D1"/>
      <selection pane="bottomLeft" activeCell="A2" sqref="A2"/>
      <selection pane="bottomRight"/>
    </sheetView>
  </sheetViews>
  <sheetFormatPr defaultRowHeight="17.399999999999999" x14ac:dyDescent="0.4"/>
  <cols>
    <col min="2" max="5" width="17.3984375" bestFit="1" customWidth="1"/>
  </cols>
  <sheetData>
    <row r="1" spans="1:5" ht="43.2" x14ac:dyDescent="0.4">
      <c r="A1" s="22" t="s">
        <v>61</v>
      </c>
    </row>
    <row r="2" spans="1:5" x14ac:dyDescent="0.4">
      <c r="A2" s="9"/>
    </row>
    <row r="3" spans="1:5" x14ac:dyDescent="0.4">
      <c r="A3" s="9"/>
    </row>
    <row r="4" spans="1:5" x14ac:dyDescent="0.4">
      <c r="A4" s="14" t="s">
        <v>35</v>
      </c>
      <c r="B4" s="14"/>
    </row>
    <row r="5" spans="1:5" ht="27" customHeight="1" x14ac:dyDescent="0.4">
      <c r="A5" s="9" t="s">
        <v>62</v>
      </c>
      <c r="B5" s="10" t="s">
        <v>63</v>
      </c>
    </row>
    <row r="6" spans="1:5" x14ac:dyDescent="0.4">
      <c r="A6" s="8"/>
      <c r="B6" s="15" t="s">
        <v>36</v>
      </c>
      <c r="C6" s="16"/>
      <c r="D6" s="16"/>
      <c r="E6" s="17"/>
    </row>
    <row r="7" spans="1:5" x14ac:dyDescent="0.4">
      <c r="A7" s="12"/>
      <c r="B7" s="18" t="s">
        <v>37</v>
      </c>
      <c r="C7" s="19"/>
      <c r="D7" s="19"/>
      <c r="E7" s="20"/>
    </row>
    <row r="8" spans="1:5" ht="16.95" customHeight="1" x14ac:dyDescent="0.4">
      <c r="A8" s="12"/>
      <c r="B8" s="18" t="s">
        <v>38</v>
      </c>
      <c r="C8" s="19"/>
      <c r="D8" s="19"/>
      <c r="E8" s="20"/>
    </row>
    <row r="9" spans="1:5" ht="28.8" customHeight="1" x14ac:dyDescent="0.4">
      <c r="A9" s="12"/>
      <c r="B9" s="18" t="s">
        <v>39</v>
      </c>
      <c r="C9" s="19"/>
      <c r="D9" s="19"/>
      <c r="E9" s="20"/>
    </row>
    <row r="10" spans="1:5" x14ac:dyDescent="0.4">
      <c r="A10" s="12"/>
      <c r="B10" s="18" t="s">
        <v>41</v>
      </c>
      <c r="C10" s="19"/>
      <c r="D10" s="21"/>
      <c r="E10" s="25" t="s">
        <v>42</v>
      </c>
    </row>
    <row r="11" spans="1:5" ht="28.8" x14ac:dyDescent="0.4">
      <c r="A11" s="12"/>
      <c r="B11" s="11" t="s">
        <v>43</v>
      </c>
      <c r="C11" s="11" t="s">
        <v>45</v>
      </c>
      <c r="D11" s="11" t="s">
        <v>44</v>
      </c>
      <c r="E11" s="26"/>
    </row>
    <row r="12" spans="1:5" ht="115.2" x14ac:dyDescent="0.4">
      <c r="A12" s="23" t="s">
        <v>46</v>
      </c>
      <c r="B12" s="2">
        <v>1522559947662</v>
      </c>
      <c r="C12" s="3">
        <v>0</v>
      </c>
      <c r="D12" s="3">
        <v>0</v>
      </c>
      <c r="E12" s="4">
        <v>1522559947662</v>
      </c>
    </row>
    <row r="13" spans="1:5" ht="72" x14ac:dyDescent="0.4">
      <c r="A13" s="23" t="s">
        <v>47</v>
      </c>
      <c r="B13" s="2">
        <v>37321916556</v>
      </c>
      <c r="C13" s="3">
        <v>0</v>
      </c>
      <c r="D13" s="3">
        <v>0</v>
      </c>
      <c r="E13" s="4">
        <v>37321916556</v>
      </c>
    </row>
    <row r="14" spans="1:5" ht="100.8" x14ac:dyDescent="0.4">
      <c r="A14" s="23" t="s">
        <v>48</v>
      </c>
      <c r="B14" s="2">
        <v>241253066548</v>
      </c>
      <c r="C14" s="3">
        <v>0</v>
      </c>
      <c r="D14" s="3">
        <v>0</v>
      </c>
      <c r="E14" s="4">
        <v>241253066548</v>
      </c>
    </row>
    <row r="15" spans="1:5" ht="27" customHeight="1" x14ac:dyDescent="0.4">
      <c r="A15" s="24" t="s">
        <v>49</v>
      </c>
      <c r="B15" s="5">
        <v>234300162478</v>
      </c>
      <c r="C15" s="13">
        <v>0</v>
      </c>
      <c r="D15" s="13">
        <v>0</v>
      </c>
      <c r="E15" s="6">
        <v>234300162478</v>
      </c>
    </row>
    <row r="16" spans="1:5" ht="27" customHeight="1" x14ac:dyDescent="0.4">
      <c r="A16" s="9"/>
    </row>
    <row r="17" spans="1:5" x14ac:dyDescent="0.4">
      <c r="A17" s="9"/>
    </row>
    <row r="18" spans="1:5" ht="57.6" customHeight="1" x14ac:dyDescent="0.4">
      <c r="A18" s="14" t="s">
        <v>64</v>
      </c>
      <c r="B18" s="14"/>
    </row>
    <row r="19" spans="1:5" x14ac:dyDescent="0.4">
      <c r="A19" s="9" t="s">
        <v>62</v>
      </c>
      <c r="B19" s="10" t="s">
        <v>63</v>
      </c>
    </row>
    <row r="20" spans="1:5" x14ac:dyDescent="0.4">
      <c r="A20" s="8"/>
      <c r="B20" s="15" t="s">
        <v>36</v>
      </c>
      <c r="C20" s="16"/>
      <c r="D20" s="16"/>
      <c r="E20" s="17"/>
    </row>
    <row r="21" spans="1:5" x14ac:dyDescent="0.4">
      <c r="A21" s="12"/>
      <c r="B21" s="18" t="s">
        <v>37</v>
      </c>
      <c r="C21" s="19"/>
      <c r="D21" s="19"/>
      <c r="E21" s="20"/>
    </row>
    <row r="22" spans="1:5" x14ac:dyDescent="0.4">
      <c r="A22" s="12"/>
      <c r="B22" s="18" t="s">
        <v>38</v>
      </c>
      <c r="C22" s="19"/>
      <c r="D22" s="19"/>
      <c r="E22" s="20"/>
    </row>
    <row r="23" spans="1:5" x14ac:dyDescent="0.4">
      <c r="A23" s="12"/>
      <c r="B23" s="18" t="s">
        <v>40</v>
      </c>
      <c r="C23" s="19"/>
      <c r="D23" s="19"/>
      <c r="E23" s="20"/>
    </row>
    <row r="24" spans="1:5" x14ac:dyDescent="0.4">
      <c r="A24" s="12"/>
      <c r="B24" s="18" t="s">
        <v>41</v>
      </c>
      <c r="C24" s="19"/>
      <c r="D24" s="21"/>
      <c r="E24" s="25" t="s">
        <v>42</v>
      </c>
    </row>
    <row r="25" spans="1:5" ht="27" customHeight="1" x14ac:dyDescent="0.4">
      <c r="A25" s="12"/>
      <c r="B25" s="11" t="s">
        <v>43</v>
      </c>
      <c r="C25" s="11" t="s">
        <v>45</v>
      </c>
      <c r="D25" s="11" t="s">
        <v>44</v>
      </c>
      <c r="E25" s="26"/>
    </row>
    <row r="26" spans="1:5" ht="40.5" customHeight="1" x14ac:dyDescent="0.4">
      <c r="A26" s="24" t="s">
        <v>50</v>
      </c>
      <c r="B26" s="13">
        <v>0</v>
      </c>
      <c r="C26" s="5">
        <v>935161957739</v>
      </c>
      <c r="D26" s="5">
        <v>541615259664</v>
      </c>
      <c r="E26" s="6">
        <v>1476777217403</v>
      </c>
    </row>
    <row r="27" spans="1:5" x14ac:dyDescent="0.4">
      <c r="A27" s="9"/>
    </row>
    <row r="28" spans="1:5" x14ac:dyDescent="0.4">
      <c r="A28" s="9"/>
    </row>
    <row r="29" spans="1:5" ht="28.8" customHeight="1" x14ac:dyDescent="0.4">
      <c r="A29" s="14" t="s">
        <v>65</v>
      </c>
      <c r="B29" s="14"/>
    </row>
    <row r="30" spans="1:5" x14ac:dyDescent="0.4">
      <c r="A30" s="9" t="s">
        <v>62</v>
      </c>
      <c r="B30" s="10" t="s">
        <v>63</v>
      </c>
    </row>
    <row r="31" spans="1:5" x14ac:dyDescent="0.4">
      <c r="A31" s="8"/>
      <c r="B31" s="15" t="s">
        <v>36</v>
      </c>
      <c r="C31" s="16"/>
      <c r="D31" s="16"/>
      <c r="E31" s="17"/>
    </row>
    <row r="32" spans="1:5" ht="27" customHeight="1" x14ac:dyDescent="0.4">
      <c r="A32" s="12"/>
      <c r="B32" s="18" t="s">
        <v>37</v>
      </c>
      <c r="C32" s="19"/>
      <c r="D32" s="19"/>
      <c r="E32" s="20"/>
    </row>
    <row r="33" spans="1:5" x14ac:dyDescent="0.4">
      <c r="A33" s="12"/>
      <c r="B33" s="18" t="s">
        <v>41</v>
      </c>
      <c r="C33" s="19"/>
      <c r="D33" s="21"/>
      <c r="E33" s="25" t="s">
        <v>42</v>
      </c>
    </row>
    <row r="34" spans="1:5" x14ac:dyDescent="0.4">
      <c r="A34" s="12"/>
      <c r="B34" s="11" t="s">
        <v>43</v>
      </c>
      <c r="C34" s="11" t="s">
        <v>45</v>
      </c>
      <c r="D34" s="11" t="s">
        <v>44</v>
      </c>
      <c r="E34" s="26"/>
    </row>
    <row r="35" spans="1:5" x14ac:dyDescent="0.4">
      <c r="A35" s="24" t="s">
        <v>50</v>
      </c>
      <c r="B35" s="5">
        <v>2035435093244</v>
      </c>
      <c r="C35" s="5">
        <v>935161957739</v>
      </c>
      <c r="D35" s="5">
        <v>541615259664</v>
      </c>
      <c r="E35" s="6">
        <v>3512212310647</v>
      </c>
    </row>
    <row r="36" spans="1:5" ht="27" customHeight="1" x14ac:dyDescent="0.4">
      <c r="A36" s="9"/>
    </row>
    <row r="37" spans="1:5" ht="28.8" customHeight="1" x14ac:dyDescent="0.4">
      <c r="A37" s="14" t="s">
        <v>51</v>
      </c>
      <c r="B37" s="14"/>
    </row>
    <row r="38" spans="1:5" ht="27" customHeight="1" x14ac:dyDescent="0.4">
      <c r="A38" s="9" t="s">
        <v>62</v>
      </c>
      <c r="B38" s="10" t="s">
        <v>63</v>
      </c>
    </row>
    <row r="39" spans="1:5" x14ac:dyDescent="0.4">
      <c r="A39" s="8"/>
      <c r="B39" s="15" t="s">
        <v>36</v>
      </c>
      <c r="C39" s="16"/>
      <c r="D39" s="16"/>
      <c r="E39" s="17"/>
    </row>
    <row r="40" spans="1:5" x14ac:dyDescent="0.4">
      <c r="A40" s="12"/>
      <c r="B40" s="18" t="s">
        <v>37</v>
      </c>
      <c r="C40" s="19"/>
      <c r="D40" s="19"/>
      <c r="E40" s="20"/>
    </row>
    <row r="41" spans="1:5" x14ac:dyDescent="0.4">
      <c r="A41" s="12"/>
      <c r="B41" s="18" t="s">
        <v>38</v>
      </c>
      <c r="C41" s="19"/>
      <c r="D41" s="19"/>
      <c r="E41" s="20"/>
    </row>
    <row r="42" spans="1:5" ht="28.8" customHeight="1" x14ac:dyDescent="0.4">
      <c r="A42" s="12"/>
      <c r="B42" s="18" t="s">
        <v>39</v>
      </c>
      <c r="C42" s="19"/>
      <c r="D42" s="19"/>
      <c r="E42" s="20"/>
    </row>
    <row r="43" spans="1:5" x14ac:dyDescent="0.4">
      <c r="A43" s="12"/>
      <c r="B43" s="18" t="s">
        <v>41</v>
      </c>
      <c r="C43" s="19"/>
      <c r="D43" s="21"/>
      <c r="E43" s="25" t="s">
        <v>42</v>
      </c>
    </row>
    <row r="44" spans="1:5" x14ac:dyDescent="0.4">
      <c r="A44" s="12"/>
      <c r="B44" s="11" t="s">
        <v>43</v>
      </c>
      <c r="C44" s="11" t="s">
        <v>45</v>
      </c>
      <c r="D44" s="11" t="s">
        <v>44</v>
      </c>
      <c r="E44" s="26"/>
    </row>
    <row r="45" spans="1:5" ht="158.4" x14ac:dyDescent="0.4">
      <c r="A45" s="23" t="s">
        <v>66</v>
      </c>
      <c r="B45" s="2">
        <v>1649424518123</v>
      </c>
      <c r="C45" s="2">
        <v>834012803261</v>
      </c>
      <c r="D45" s="2">
        <v>230456026336</v>
      </c>
      <c r="E45" s="4">
        <v>2713893347720</v>
      </c>
    </row>
    <row r="46" spans="1:5" ht="27" customHeight="1" x14ac:dyDescent="0.4">
      <c r="A46" s="23" t="s">
        <v>67</v>
      </c>
      <c r="B46" s="2">
        <v>240759426215</v>
      </c>
      <c r="C46" s="2">
        <v>101283500109</v>
      </c>
      <c r="D46" s="2">
        <v>56081890775</v>
      </c>
      <c r="E46" s="4">
        <v>398124817099</v>
      </c>
    </row>
    <row r="47" spans="1:5" ht="115.2" x14ac:dyDescent="0.4">
      <c r="A47" s="23" t="s">
        <v>68</v>
      </c>
      <c r="B47" s="2">
        <v>-52637373487</v>
      </c>
      <c r="C47" s="2">
        <v>9536737573</v>
      </c>
      <c r="D47" s="2">
        <v>-14058837068</v>
      </c>
      <c r="E47" s="4">
        <v>-57159472982</v>
      </c>
    </row>
    <row r="48" spans="1:5" ht="115.2" x14ac:dyDescent="0.4">
      <c r="A48" s="23" t="s">
        <v>69</v>
      </c>
      <c r="B48" s="2">
        <v>-81413816180</v>
      </c>
      <c r="C48" s="3">
        <v>0</v>
      </c>
      <c r="D48" s="2">
        <v>2897740116</v>
      </c>
      <c r="E48" s="4">
        <v>-78516076064</v>
      </c>
    </row>
    <row r="49" spans="1:5" ht="100.8" x14ac:dyDescent="0.4">
      <c r="A49" s="24" t="s">
        <v>70</v>
      </c>
      <c r="B49" s="5">
        <v>1756132754671</v>
      </c>
      <c r="C49" s="5">
        <v>944833040943</v>
      </c>
      <c r="D49" s="5">
        <v>275376820159</v>
      </c>
      <c r="E49" s="6">
        <v>2976342615773</v>
      </c>
    </row>
    <row r="50" spans="1:5" ht="27" customHeight="1" x14ac:dyDescent="0.4"/>
    <row r="51" spans="1:5" ht="43.2" x14ac:dyDescent="0.4">
      <c r="A51" s="22" t="s">
        <v>71</v>
      </c>
    </row>
    <row r="52" spans="1:5" x14ac:dyDescent="0.4">
      <c r="A52" s="9"/>
    </row>
    <row r="53" spans="1:5" ht="43.2" customHeight="1" x14ac:dyDescent="0.4">
      <c r="A53" s="14" t="s">
        <v>72</v>
      </c>
      <c r="B53" s="14"/>
    </row>
    <row r="54" spans="1:5" x14ac:dyDescent="0.4">
      <c r="A54" s="9" t="s">
        <v>62</v>
      </c>
      <c r="B54" s="10" t="s">
        <v>63</v>
      </c>
    </row>
    <row r="55" spans="1:5" x14ac:dyDescent="0.4">
      <c r="A55" s="8"/>
      <c r="B55" s="15" t="s">
        <v>36</v>
      </c>
      <c r="C55" s="16"/>
      <c r="D55" s="16"/>
      <c r="E55" s="17"/>
    </row>
    <row r="56" spans="1:5" x14ac:dyDescent="0.4">
      <c r="A56" s="12"/>
      <c r="B56" s="18" t="s">
        <v>52</v>
      </c>
      <c r="C56" s="19"/>
      <c r="D56" s="19"/>
      <c r="E56" s="20"/>
    </row>
    <row r="57" spans="1:5" x14ac:dyDescent="0.4">
      <c r="A57" s="12"/>
      <c r="B57" s="18" t="s">
        <v>38</v>
      </c>
      <c r="C57" s="19"/>
      <c r="D57" s="19"/>
      <c r="E57" s="20"/>
    </row>
    <row r="58" spans="1:5" ht="28.8" customHeight="1" x14ac:dyDescent="0.4">
      <c r="A58" s="12"/>
      <c r="B58" s="18" t="s">
        <v>39</v>
      </c>
      <c r="C58" s="19"/>
      <c r="D58" s="19"/>
      <c r="E58" s="20"/>
    </row>
    <row r="59" spans="1:5" x14ac:dyDescent="0.4">
      <c r="A59" s="12"/>
      <c r="B59" s="18" t="s">
        <v>41</v>
      </c>
      <c r="C59" s="19"/>
      <c r="D59" s="21"/>
      <c r="E59" s="25" t="s">
        <v>42</v>
      </c>
    </row>
    <row r="60" spans="1:5" x14ac:dyDescent="0.4">
      <c r="A60" s="12"/>
      <c r="B60" s="11" t="s">
        <v>43</v>
      </c>
      <c r="C60" s="11" t="s">
        <v>45</v>
      </c>
      <c r="D60" s="11" t="s">
        <v>44</v>
      </c>
      <c r="E60" s="26"/>
    </row>
    <row r="61" spans="1:5" ht="158.4" x14ac:dyDescent="0.4">
      <c r="A61" s="23" t="s">
        <v>73</v>
      </c>
      <c r="B61" s="2">
        <v>6690355522</v>
      </c>
      <c r="C61" s="2">
        <v>195462533</v>
      </c>
      <c r="D61" s="2">
        <v>66788547957</v>
      </c>
      <c r="E61" s="4">
        <v>73674366012</v>
      </c>
    </row>
    <row r="62" spans="1:5" ht="129.6" x14ac:dyDescent="0.4">
      <c r="A62" s="23" t="s">
        <v>74</v>
      </c>
      <c r="B62" s="2">
        <v>4136908476</v>
      </c>
      <c r="C62" s="2">
        <v>-215125819</v>
      </c>
      <c r="D62" s="2">
        <v>-20197352534</v>
      </c>
      <c r="E62" s="4">
        <v>-16275569877</v>
      </c>
    </row>
    <row r="63" spans="1:5" ht="129.6" x14ac:dyDescent="0.4">
      <c r="A63" s="23" t="s">
        <v>75</v>
      </c>
      <c r="B63" s="2">
        <v>-100373764</v>
      </c>
      <c r="C63" s="3">
        <v>0</v>
      </c>
      <c r="D63" s="2">
        <v>-636637117</v>
      </c>
      <c r="E63" s="4">
        <v>-737010860</v>
      </c>
    </row>
    <row r="64" spans="1:5" ht="100.8" x14ac:dyDescent="0.4">
      <c r="A64" s="24" t="s">
        <v>76</v>
      </c>
      <c r="B64" s="5">
        <v>10726890255</v>
      </c>
      <c r="C64" s="5">
        <v>-19663286</v>
      </c>
      <c r="D64" s="5">
        <v>45954558306</v>
      </c>
      <c r="E64" s="6">
        <v>56661785275</v>
      </c>
    </row>
    <row r="65" spans="1:5" x14ac:dyDescent="0.4">
      <c r="A65" s="9"/>
    </row>
    <row r="66" spans="1:5" ht="28.8" customHeight="1" x14ac:dyDescent="0.4">
      <c r="A66" s="14" t="s">
        <v>53</v>
      </c>
      <c r="B66" s="14"/>
    </row>
    <row r="67" spans="1:5" x14ac:dyDescent="0.4">
      <c r="A67" s="9" t="s">
        <v>62</v>
      </c>
      <c r="B67" s="10" t="s">
        <v>63</v>
      </c>
    </row>
    <row r="68" spans="1:5" x14ac:dyDescent="0.4">
      <c r="A68" s="8"/>
      <c r="B68" s="15" t="s">
        <v>36</v>
      </c>
      <c r="C68" s="16"/>
      <c r="D68" s="16"/>
      <c r="E68" s="17"/>
    </row>
    <row r="69" spans="1:5" x14ac:dyDescent="0.4">
      <c r="A69" s="12"/>
      <c r="B69" s="18" t="s">
        <v>52</v>
      </c>
      <c r="C69" s="19"/>
      <c r="D69" s="19"/>
      <c r="E69" s="20"/>
    </row>
    <row r="70" spans="1:5" x14ac:dyDescent="0.4">
      <c r="A70" s="12"/>
      <c r="B70" s="18" t="s">
        <v>38</v>
      </c>
      <c r="C70" s="19"/>
      <c r="D70" s="19"/>
      <c r="E70" s="20"/>
    </row>
    <row r="71" spans="1:5" ht="28.8" customHeight="1" x14ac:dyDescent="0.4">
      <c r="A71" s="12"/>
      <c r="B71" s="18" t="s">
        <v>39</v>
      </c>
      <c r="C71" s="19"/>
      <c r="D71" s="19"/>
      <c r="E71" s="20"/>
    </row>
    <row r="72" spans="1:5" x14ac:dyDescent="0.4">
      <c r="A72" s="12"/>
      <c r="B72" s="18" t="s">
        <v>41</v>
      </c>
      <c r="C72" s="19"/>
      <c r="D72" s="21"/>
      <c r="E72" s="25" t="s">
        <v>42</v>
      </c>
    </row>
    <row r="73" spans="1:5" x14ac:dyDescent="0.4">
      <c r="A73" s="12"/>
      <c r="B73" s="11" t="s">
        <v>43</v>
      </c>
      <c r="C73" s="11" t="s">
        <v>45</v>
      </c>
      <c r="D73" s="11" t="s">
        <v>44</v>
      </c>
      <c r="E73" s="26"/>
    </row>
    <row r="74" spans="1:5" ht="115.2" x14ac:dyDescent="0.4">
      <c r="A74" s="23" t="s">
        <v>54</v>
      </c>
      <c r="B74" s="2">
        <v>4615023338</v>
      </c>
      <c r="C74" s="3">
        <v>0</v>
      </c>
      <c r="D74" s="3">
        <v>0</v>
      </c>
      <c r="E74" s="4">
        <v>4615023338</v>
      </c>
    </row>
    <row r="75" spans="1:5" ht="86.4" x14ac:dyDescent="0.4">
      <c r="A75" s="23" t="s">
        <v>55</v>
      </c>
      <c r="B75" s="2">
        <v>122929067</v>
      </c>
      <c r="C75" s="3">
        <v>0</v>
      </c>
      <c r="D75" s="3">
        <v>0</v>
      </c>
      <c r="E75" s="4">
        <v>122929067</v>
      </c>
    </row>
    <row r="76" spans="1:5" ht="100.8" x14ac:dyDescent="0.4">
      <c r="A76" s="23" t="s">
        <v>56</v>
      </c>
      <c r="B76" s="2">
        <v>3441767460</v>
      </c>
      <c r="C76" s="3">
        <v>0</v>
      </c>
      <c r="D76" s="3">
        <v>0</v>
      </c>
      <c r="E76" s="4">
        <v>3441767460</v>
      </c>
    </row>
    <row r="77" spans="1:5" ht="43.2" x14ac:dyDescent="0.4">
      <c r="A77" s="24" t="s">
        <v>57</v>
      </c>
      <c r="B77" s="5">
        <v>5839792383</v>
      </c>
      <c r="C77" s="13">
        <v>0</v>
      </c>
      <c r="D77" s="13">
        <v>0</v>
      </c>
      <c r="E77" s="6">
        <v>5839792383</v>
      </c>
    </row>
    <row r="78" spans="1:5" x14ac:dyDescent="0.4">
      <c r="A78" s="9"/>
    </row>
    <row r="79" spans="1:5" x14ac:dyDescent="0.4">
      <c r="A79" s="9"/>
    </row>
    <row r="80" spans="1:5" ht="57.6" customHeight="1" x14ac:dyDescent="0.4">
      <c r="A80" s="14" t="s">
        <v>77</v>
      </c>
      <c r="B80" s="14"/>
    </row>
    <row r="81" spans="1:5" x14ac:dyDescent="0.4">
      <c r="A81" s="9" t="s">
        <v>62</v>
      </c>
      <c r="B81" s="10" t="s">
        <v>63</v>
      </c>
    </row>
    <row r="82" spans="1:5" x14ac:dyDescent="0.4">
      <c r="A82" s="8"/>
      <c r="B82" s="15" t="s">
        <v>36</v>
      </c>
      <c r="C82" s="16"/>
      <c r="D82" s="16"/>
      <c r="E82" s="17"/>
    </row>
    <row r="83" spans="1:5" x14ac:dyDescent="0.4">
      <c r="A83" s="12"/>
      <c r="B83" s="18" t="s">
        <v>52</v>
      </c>
      <c r="C83" s="19"/>
      <c r="D83" s="19"/>
      <c r="E83" s="20"/>
    </row>
    <row r="84" spans="1:5" x14ac:dyDescent="0.4">
      <c r="A84" s="12"/>
      <c r="B84" s="18" t="s">
        <v>38</v>
      </c>
      <c r="C84" s="19"/>
      <c r="D84" s="19"/>
      <c r="E84" s="20"/>
    </row>
    <row r="85" spans="1:5" x14ac:dyDescent="0.4">
      <c r="A85" s="12"/>
      <c r="B85" s="18" t="s">
        <v>40</v>
      </c>
      <c r="C85" s="19"/>
      <c r="D85" s="19"/>
      <c r="E85" s="20"/>
    </row>
    <row r="86" spans="1:5" x14ac:dyDescent="0.4">
      <c r="A86" s="12"/>
      <c r="B86" s="18" t="s">
        <v>41</v>
      </c>
      <c r="C86" s="19"/>
      <c r="D86" s="21"/>
      <c r="E86" s="25" t="s">
        <v>42</v>
      </c>
    </row>
    <row r="87" spans="1:5" x14ac:dyDescent="0.4">
      <c r="A87" s="12"/>
      <c r="B87" s="11" t="s">
        <v>43</v>
      </c>
      <c r="C87" s="11" t="s">
        <v>45</v>
      </c>
      <c r="D87" s="11" t="s">
        <v>44</v>
      </c>
      <c r="E87" s="26"/>
    </row>
    <row r="88" spans="1:5" ht="28.8" x14ac:dyDescent="0.4">
      <c r="A88" s="24" t="s">
        <v>78</v>
      </c>
      <c r="B88" s="5">
        <v>2700459448</v>
      </c>
      <c r="C88" s="5">
        <v>1200346933</v>
      </c>
      <c r="D88" s="5">
        <v>258466537770</v>
      </c>
      <c r="E88" s="6">
        <v>262367344151</v>
      </c>
    </row>
    <row r="89" spans="1:5" x14ac:dyDescent="0.4">
      <c r="A89" s="9"/>
    </row>
    <row r="90" spans="1:5" x14ac:dyDescent="0.4">
      <c r="A90" s="9"/>
    </row>
    <row r="91" spans="1:5" ht="28.8" customHeight="1" x14ac:dyDescent="0.4">
      <c r="A91" s="14" t="s">
        <v>79</v>
      </c>
      <c r="B91" s="14"/>
    </row>
    <row r="92" spans="1:5" x14ac:dyDescent="0.4">
      <c r="A92" s="9" t="s">
        <v>62</v>
      </c>
      <c r="B92" s="10" t="s">
        <v>63</v>
      </c>
    </row>
    <row r="93" spans="1:5" x14ac:dyDescent="0.4">
      <c r="A93" s="8"/>
      <c r="B93" s="15" t="s">
        <v>36</v>
      </c>
      <c r="C93" s="16"/>
      <c r="D93" s="16"/>
      <c r="E93" s="17"/>
    </row>
    <row r="94" spans="1:5" x14ac:dyDescent="0.4">
      <c r="A94" s="12"/>
      <c r="B94" s="18" t="s">
        <v>52</v>
      </c>
      <c r="C94" s="19"/>
      <c r="D94" s="19"/>
      <c r="E94" s="20"/>
    </row>
    <row r="95" spans="1:5" x14ac:dyDescent="0.4">
      <c r="A95" s="12"/>
      <c r="B95" s="18" t="s">
        <v>41</v>
      </c>
      <c r="C95" s="19"/>
      <c r="D95" s="21"/>
      <c r="E95" s="25" t="s">
        <v>42</v>
      </c>
    </row>
    <row r="96" spans="1:5" x14ac:dyDescent="0.4">
      <c r="A96" s="12"/>
      <c r="B96" s="11" t="s">
        <v>43</v>
      </c>
      <c r="C96" s="11" t="s">
        <v>45</v>
      </c>
      <c r="D96" s="11" t="s">
        <v>44</v>
      </c>
      <c r="E96" s="26"/>
    </row>
    <row r="97" spans="1:5" ht="28.8" x14ac:dyDescent="0.4">
      <c r="A97" s="24" t="s">
        <v>78</v>
      </c>
      <c r="B97" s="5">
        <v>16719971696</v>
      </c>
      <c r="C97" s="5">
        <v>1200346933</v>
      </c>
      <c r="D97" s="5">
        <v>258466537770</v>
      </c>
      <c r="E97" s="6">
        <v>276386856399</v>
      </c>
    </row>
    <row r="98" spans="1:5" x14ac:dyDescent="0.4">
      <c r="A98" s="9"/>
    </row>
  </sheetData>
  <mergeCells count="52">
    <mergeCell ref="A91:B91"/>
    <mergeCell ref="B93:E93"/>
    <mergeCell ref="B94:E94"/>
    <mergeCell ref="B95:D95"/>
    <mergeCell ref="E95:E96"/>
    <mergeCell ref="A80:B80"/>
    <mergeCell ref="B82:E82"/>
    <mergeCell ref="B83:E83"/>
    <mergeCell ref="B84:E84"/>
    <mergeCell ref="B85:E85"/>
    <mergeCell ref="B86:D86"/>
    <mergeCell ref="E86:E87"/>
    <mergeCell ref="B70:E70"/>
    <mergeCell ref="B71:E71"/>
    <mergeCell ref="B72:D72"/>
    <mergeCell ref="E72:E73"/>
    <mergeCell ref="A66:B66"/>
    <mergeCell ref="B68:E68"/>
    <mergeCell ref="B69:E69"/>
    <mergeCell ref="A53:B53"/>
    <mergeCell ref="B55:E55"/>
    <mergeCell ref="B56:E56"/>
    <mergeCell ref="B57:E57"/>
    <mergeCell ref="B58:E58"/>
    <mergeCell ref="B59:D59"/>
    <mergeCell ref="E59:E60"/>
    <mergeCell ref="B39:E39"/>
    <mergeCell ref="B40:E40"/>
    <mergeCell ref="B41:E41"/>
    <mergeCell ref="B42:E42"/>
    <mergeCell ref="B43:D43"/>
    <mergeCell ref="E43:E44"/>
    <mergeCell ref="B31:E31"/>
    <mergeCell ref="B32:E32"/>
    <mergeCell ref="B33:D33"/>
    <mergeCell ref="E33:E34"/>
    <mergeCell ref="A37:B37"/>
    <mergeCell ref="B24:D24"/>
    <mergeCell ref="E24:E25"/>
    <mergeCell ref="A29:B29"/>
    <mergeCell ref="A18:B18"/>
    <mergeCell ref="B20:E20"/>
    <mergeCell ref="B21:E21"/>
    <mergeCell ref="B22:E22"/>
    <mergeCell ref="B23:E23"/>
    <mergeCell ref="A4:B4"/>
    <mergeCell ref="B6:E6"/>
    <mergeCell ref="B7:E7"/>
    <mergeCell ref="B8:E8"/>
    <mergeCell ref="B9:E9"/>
    <mergeCell ref="B10:D10"/>
    <mergeCell ref="E10:E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2026-06-11T08:57:09Z</dcterms:modified>
</cp:coreProperties>
</file>