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7EA3CCB1-8695-40FE-834A-81A20ABD19D7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4" i="2"/>
  <c r="H6" i="2"/>
  <c r="H3" i="2"/>
  <c r="H2" i="2"/>
  <c r="H5" i="2" l="1"/>
</calcChain>
</file>

<file path=xl/sharedStrings.xml><?xml version="1.0" encoding="utf-8"?>
<sst xmlns="http://schemas.openxmlformats.org/spreadsheetml/2006/main" count="91" uniqueCount="59">
  <si>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</si>
  <si>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</si>
  <si>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</si>
  <si>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</si>
  <si>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</si>
  <si>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</si>
  <si>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</si>
  <si>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</si>
  <si>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</si>
  <si>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</si>
  <si>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</si>
  <si>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</si>
  <si>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</si>
  <si>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</si>
  <si>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</si>
  <si>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</si>
  <si>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신계약효과</t>
  </si>
  <si>
    <t>경험조정</t>
  </si>
  <si>
    <t>보험서비스결과</t>
  </si>
  <si>
    <t>현금흐름</t>
  </si>
  <si>
    <t>가정 및 경험 조정 등</t>
    <phoneticPr fontId="2" type="noConversion"/>
  </si>
  <si>
    <t>보험계약부채(자산)의 보험계약 구성요소별 변동분에 대한 차이조정 공시</t>
  </si>
  <si>
    <t>당기</t>
  </si>
  <si>
    <t>(단위 : 백만원)</t>
  </si>
  <si>
    <t>보험계약의 세분</t>
  </si>
  <si>
    <t>발행한 보험계약</t>
  </si>
  <si>
    <t>배당유무에 따른 보험계약 구분</t>
  </si>
  <si>
    <t>배당요소가 있는 보험계약</t>
  </si>
  <si>
    <t>배당요소가 없는 보험계약</t>
  </si>
  <si>
    <t>계약의 유형</t>
  </si>
  <si>
    <t>장기보험</t>
  </si>
  <si>
    <t>보험계약</t>
  </si>
  <si>
    <t>보험료배분접근법을 적용한 보험계약 외의 보험계약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</si>
  <si>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</si>
  <si>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</si>
  <si>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</si>
  <si>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</si>
  <si>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기초 보험계약부채(자산)</t>
  </si>
  <si>
    <t>부채인 보험계약의 기초 장부금액</t>
  </si>
  <si>
    <t>자산인 보험계약의 기초 장부금액</t>
  </si>
  <si>
    <t>미래서비스와 관련된 변동</t>
  </si>
  <si>
    <t>보험계약마진금액을 조정하는 변동</t>
  </si>
  <si>
    <t>보험계약마진금액을 조정하지 않는 변동</t>
  </si>
  <si>
    <t>당기서비스와 관련된 변동</t>
  </si>
  <si>
    <t>비금융위험에 대한 위험조정의 변동</t>
  </si>
  <si>
    <t>보험계약마진 상각</t>
  </si>
  <si>
    <t>과거서비스와 관련된 변동</t>
  </si>
  <si>
    <t>보험금융손익</t>
  </si>
  <si>
    <t>당기손익인식 보험금융손익</t>
  </si>
  <si>
    <t>기타포괄손익인식 보험금융손익</t>
  </si>
  <si>
    <t>기타</t>
  </si>
  <si>
    <t>수취보험료</t>
  </si>
  <si>
    <t>지급한 보험금 및 기타보험서비스비용 등</t>
  </si>
  <si>
    <t>보험취득현금흐름지급</t>
  </si>
  <si>
    <t>기말 보험계약부채(자산)</t>
  </si>
  <si>
    <t>부채인 보험계약의 기말 장부금액</t>
  </si>
  <si>
    <t>자산인 보험계약의 기말 장부금액</t>
  </si>
  <si>
    <t>KR0008</t>
    <phoneticPr fontId="2" type="noConversion"/>
  </si>
  <si>
    <t>삼성화재해상보험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</si>
</sst>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10" x14ac:dyDescent="0.6">
      <c r="A2" s="2" t="s">
        <v>57</v>
      </c>
      <c r="B2" s="2" t="s">
        <v>58</v>
      </c>
      <c r="C2" s="2"/>
      <c r="D2" s="2" t="s">
        <v>8</v>
      </c>
      <c r="E2" s="2">
        <v>1</v>
      </c>
      <c r="F2" s="2" t="s">
        <v>10</v>
      </c>
      <c r="G2" s="2" t="s">
        <v>9</v>
      </c>
      <c r="H2" s="1">
        <f>SUM(부문별!J13,부문별!F13)</f>
        <v>14073908</v>
      </c>
      <c r="J2" s="1"/>
    </row>
    <row r="3" spans="1:10" x14ac:dyDescent="0.6">
      <c r="A3" s="2" t="s">
        <v>57</v>
      </c>
      <c r="B3" s="2" t="s">
        <v>58</v>
      </c>
      <c r="C3" s="2"/>
      <c r="D3" s="2" t="s">
        <v>8</v>
      </c>
      <c r="E3" s="2">
        <v>2</v>
      </c>
      <c r="F3" s="2" t="s">
        <v>11</v>
      </c>
      <c r="G3" s="2" t="s">
        <v>9</v>
      </c>
      <c r="H3" s="1">
        <f>부문별!F20+부문별!J20</f>
        <v>2898367</v>
      </c>
      <c r="J3" s="1"/>
    </row>
    <row r="4" spans="1:10" x14ac:dyDescent="0.6">
      <c r="A4" s="2" t="s">
        <v>57</v>
      </c>
      <c r="B4" s="2" t="s">
        <v>58</v>
      </c>
      <c r="C4" s="2"/>
      <c r="D4" s="2" t="s">
        <v>8</v>
      </c>
      <c r="E4">
        <v>3</v>
      </c>
      <c r="F4" s="2" t="s">
        <v>12</v>
      </c>
      <c r="G4" t="s">
        <v>9</v>
      </c>
      <c r="H4" s="1">
        <f>부문별!F27+부문별!J27</f>
        <v>502287</v>
      </c>
      <c r="J4" s="1"/>
    </row>
    <row r="5" spans="1:10" x14ac:dyDescent="0.6">
      <c r="A5" s="2" t="s">
        <v>57</v>
      </c>
      <c r="B5" s="2" t="s">
        <v>58</v>
      </c>
      <c r="C5" s="2"/>
      <c r="D5" s="2" t="s">
        <v>8</v>
      </c>
      <c r="E5" s="2">
        <v>4</v>
      </c>
      <c r="F5" s="2" t="s">
        <v>20</v>
      </c>
      <c r="G5" t="s">
        <v>9</v>
      </c>
      <c r="H5" s="1">
        <f>H7-(SUM(H2:H4)+H6)</f>
        <v>-1686117</v>
      </c>
      <c r="J5" s="1"/>
    </row>
    <row r="6" spans="1:10" x14ac:dyDescent="0.6">
      <c r="A6" s="2" t="s">
        <v>57</v>
      </c>
      <c r="B6" s="2" t="s">
        <v>58</v>
      </c>
      <c r="C6" s="2"/>
      <c r="D6" s="2" t="s">
        <v>8</v>
      </c>
      <c r="E6" s="2">
        <v>5</v>
      </c>
      <c r="F6" s="2" t="s">
        <v>13</v>
      </c>
      <c r="G6" t="s">
        <v>9</v>
      </c>
      <c r="H6" s="1">
        <f>부문별!F23+부문별!J23</f>
        <v>-1620781</v>
      </c>
      <c r="J6" s="1"/>
    </row>
    <row r="7" spans="1:10" x14ac:dyDescent="0.6">
      <c r="A7" s="2" t="s">
        <v>57</v>
      </c>
      <c r="B7" s="2" t="s">
        <v>58</v>
      </c>
      <c r="C7" s="2"/>
      <c r="D7" s="2" t="s">
        <v>8</v>
      </c>
      <c r="E7" s="2">
        <v>6</v>
      </c>
      <c r="F7" s="2" t="s">
        <v>14</v>
      </c>
      <c r="G7" t="s">
        <v>9</v>
      </c>
      <c r="H7" s="1">
        <f>부문별!F34+부문별!J34</f>
        <v>14167664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K36"/>
  <sheetViews>
    <sheetView workbookViewId="0">
      <pane xSplit="3" ySplit="12" topLeftCell="I33" activePane="bottomRight" state="frozen"/>
      <selection pane="topRight" activeCell="D1" sqref="D1"/>
      <selection pane="bottomLeft" activeCell="A13" sqref="A13"/>
      <selection pane="bottomRight" activeCell="A13" sqref="A13:C13"/>
    </sheetView>
  </sheetViews>
  <sheetFormatPr defaultRowHeight="16.899999999999999" x14ac:dyDescent="0.6"/>
  <cols>
    <col min="1" max="1" width="21.875" bestFit="1" customWidth="1"/>
    <col min="2" max="2" width="9.125" bestFit="1" customWidth="1"/>
    <col min="3" max="3" width="8.375" bestFit="1" customWidth="1"/>
    <col min="4" max="4" width="11" bestFit="1" customWidth="1"/>
    <col min="5" max="5" width="7.1875" bestFit="1" customWidth="1"/>
    <col min="6" max="6" width="9.25" bestFit="1" customWidth="1"/>
    <col min="7" max="7" width="24" bestFit="1" customWidth="1"/>
    <col min="8" max="8" width="11" bestFit="1" customWidth="1"/>
    <col min="9" max="9" width="9.8125" bestFit="1" customWidth="1"/>
    <col min="10" max="10" width="11" bestFit="1" customWidth="1"/>
    <col min="11" max="11" width="24" bestFit="1" customWidth="1"/>
  </cols>
  <sheetData>
    <row r="1" spans="1:11" ht="27" customHeight="1" x14ac:dyDescent="0.6">
      <c r="A1" s="11" t="s">
        <v>21</v>
      </c>
      <c r="B1" s="11"/>
    </row>
    <row r="2" spans="1:11" ht="27" x14ac:dyDescent="0.6">
      <c r="A2" s="9" t="s">
        <v>22</v>
      </c>
      <c r="B2" s="10" t="s">
        <v>23</v>
      </c>
    </row>
    <row r="3" spans="1:11" ht="16.899999999999999" customHeight="1" x14ac:dyDescent="0.6">
      <c r="A3" s="14"/>
      <c r="B3" s="15"/>
      <c r="C3" s="15"/>
      <c r="D3" s="18" t="s">
        <v>24</v>
      </c>
      <c r="E3" s="19"/>
      <c r="F3" s="19"/>
      <c r="G3" s="19"/>
      <c r="H3" s="19"/>
      <c r="I3" s="19"/>
      <c r="J3" s="19"/>
      <c r="K3" s="20"/>
    </row>
    <row r="4" spans="1:11" ht="16.899999999999999" customHeight="1" x14ac:dyDescent="0.6">
      <c r="A4" s="16"/>
      <c r="B4" s="12"/>
      <c r="C4" s="12"/>
      <c r="D4" s="21" t="s">
        <v>25</v>
      </c>
      <c r="E4" s="22"/>
      <c r="F4" s="22"/>
      <c r="G4" s="22"/>
      <c r="H4" s="22"/>
      <c r="I4" s="22"/>
      <c r="J4" s="22"/>
      <c r="K4" s="23"/>
    </row>
    <row r="5" spans="1:11" ht="16.899999999999999" customHeight="1" x14ac:dyDescent="0.6">
      <c r="A5" s="16"/>
      <c r="B5" s="12"/>
      <c r="C5" s="12"/>
      <c r="D5" s="21" t="s">
        <v>26</v>
      </c>
      <c r="E5" s="22"/>
      <c r="F5" s="22"/>
      <c r="G5" s="22"/>
      <c r="H5" s="22"/>
      <c r="I5" s="22"/>
      <c r="J5" s="22"/>
      <c r="K5" s="23"/>
    </row>
    <row r="6" spans="1:11" ht="16.899999999999999" customHeight="1" x14ac:dyDescent="0.6">
      <c r="A6" s="16"/>
      <c r="B6" s="12"/>
      <c r="C6" s="12"/>
      <c r="D6" s="21" t="s">
        <v>27</v>
      </c>
      <c r="E6" s="22"/>
      <c r="F6" s="22"/>
      <c r="G6" s="24"/>
      <c r="H6" s="21" t="s">
        <v>28</v>
      </c>
      <c r="I6" s="22"/>
      <c r="J6" s="22"/>
      <c r="K6" s="23"/>
    </row>
    <row r="7" spans="1:11" ht="16.899999999999999" customHeight="1" x14ac:dyDescent="0.6">
      <c r="A7" s="16"/>
      <c r="B7" s="12"/>
      <c r="C7" s="12"/>
      <c r="D7" s="21" t="s">
        <v>29</v>
      </c>
      <c r="E7" s="22"/>
      <c r="F7" s="22"/>
      <c r="G7" s="22"/>
      <c r="H7" s="22"/>
      <c r="I7" s="22"/>
      <c r="J7" s="22"/>
      <c r="K7" s="23"/>
    </row>
    <row r="8" spans="1:11" x14ac:dyDescent="0.6">
      <c r="A8" s="16"/>
      <c r="B8" s="12"/>
      <c r="C8" s="12"/>
      <c r="D8" s="21" t="s">
        <v>30</v>
      </c>
      <c r="E8" s="22"/>
      <c r="F8" s="22"/>
      <c r="G8" s="22"/>
      <c r="H8" s="22"/>
      <c r="I8" s="22"/>
      <c r="J8" s="22"/>
      <c r="K8" s="23"/>
    </row>
    <row r="9" spans="1:11" x14ac:dyDescent="0.6">
      <c r="A9" s="16"/>
      <c r="B9" s="12"/>
      <c r="C9" s="12"/>
      <c r="D9" s="21" t="s">
        <v>31</v>
      </c>
      <c r="E9" s="22"/>
      <c r="F9" s="22"/>
      <c r="G9" s="22"/>
      <c r="H9" s="22"/>
      <c r="I9" s="22"/>
      <c r="J9" s="22"/>
      <c r="K9" s="23"/>
    </row>
    <row r="10" spans="1:11" ht="16.899999999999999" customHeight="1" x14ac:dyDescent="0.6">
      <c r="A10" s="16"/>
      <c r="B10" s="12"/>
      <c r="C10" s="12"/>
      <c r="D10" s="21" t="s">
        <v>32</v>
      </c>
      <c r="E10" s="22"/>
      <c r="F10" s="22"/>
      <c r="G10" s="22"/>
      <c r="H10" s="22"/>
      <c r="I10" s="22"/>
      <c r="J10" s="22"/>
      <c r="K10" s="23"/>
    </row>
    <row r="11" spans="1:11" ht="16.899999999999999" customHeight="1" x14ac:dyDescent="0.6">
      <c r="A11" s="16"/>
      <c r="B11" s="12"/>
      <c r="C11" s="12"/>
      <c r="D11" s="21" t="s">
        <v>33</v>
      </c>
      <c r="E11" s="22"/>
      <c r="F11" s="24"/>
      <c r="G11" s="25" t="s">
        <v>34</v>
      </c>
      <c r="H11" s="21" t="s">
        <v>33</v>
      </c>
      <c r="I11" s="22"/>
      <c r="J11" s="24"/>
      <c r="K11" s="27" t="s">
        <v>34</v>
      </c>
    </row>
    <row r="12" spans="1:11" ht="54" x14ac:dyDescent="0.6">
      <c r="A12" s="16"/>
      <c r="B12" s="12"/>
      <c r="C12" s="12"/>
      <c r="D12" s="12" t="s">
        <v>35</v>
      </c>
      <c r="E12" s="12" t="s">
        <v>36</v>
      </c>
      <c r="F12" s="12" t="s">
        <v>15</v>
      </c>
      <c r="G12" s="26"/>
      <c r="H12" s="12" t="s">
        <v>35</v>
      </c>
      <c r="I12" s="12" t="s">
        <v>36</v>
      </c>
      <c r="J12" s="12" t="s">
        <v>15</v>
      </c>
      <c r="K12" s="8"/>
    </row>
    <row r="13" spans="1:11" x14ac:dyDescent="0.6">
      <c r="A13" s="28" t="s">
        <v>37</v>
      </c>
      <c r="B13" s="29"/>
      <c r="C13" s="30"/>
      <c r="D13" s="4">
        <v>19828492</v>
      </c>
      <c r="E13" s="4">
        <v>17872</v>
      </c>
      <c r="F13" s="4">
        <v>677277</v>
      </c>
      <c r="G13" s="4">
        <v>20523641</v>
      </c>
      <c r="H13" s="4">
        <v>8380779</v>
      </c>
      <c r="I13" s="4">
        <v>1759610</v>
      </c>
      <c r="J13" s="4">
        <v>13396631</v>
      </c>
      <c r="K13" s="6">
        <v>23537020</v>
      </c>
    </row>
    <row r="14" spans="1:11" ht="27" customHeight="1" x14ac:dyDescent="0.6">
      <c r="A14" s="31" t="s">
        <v>37</v>
      </c>
      <c r="B14" s="33" t="s">
        <v>38</v>
      </c>
      <c r="C14" s="30"/>
      <c r="D14" s="4">
        <v>19828493</v>
      </c>
      <c r="E14" s="4">
        <v>17872</v>
      </c>
      <c r="F14" s="4">
        <v>677277</v>
      </c>
      <c r="G14" s="4">
        <v>20523642</v>
      </c>
      <c r="H14" s="4">
        <v>8380779</v>
      </c>
      <c r="I14" s="4">
        <v>1759610</v>
      </c>
      <c r="J14" s="4">
        <v>13396631</v>
      </c>
      <c r="K14" s="6">
        <v>23537020</v>
      </c>
    </row>
    <row r="15" spans="1:11" ht="27" customHeight="1" x14ac:dyDescent="0.6">
      <c r="A15" s="32"/>
      <c r="B15" s="33" t="s">
        <v>39</v>
      </c>
      <c r="C15" s="30"/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5">
        <v>0</v>
      </c>
    </row>
    <row r="16" spans="1:11" x14ac:dyDescent="0.6">
      <c r="A16" s="28" t="s">
        <v>18</v>
      </c>
      <c r="B16" s="29"/>
      <c r="C16" s="30"/>
      <c r="D16" s="4">
        <v>123535</v>
      </c>
      <c r="E16" s="4">
        <v>-6192</v>
      </c>
      <c r="F16" s="4">
        <v>-170769</v>
      </c>
      <c r="G16" s="4">
        <v>-53426</v>
      </c>
      <c r="H16" s="4">
        <v>-1498290</v>
      </c>
      <c r="I16" s="4">
        <v>124401</v>
      </c>
      <c r="J16" s="4">
        <v>-237762</v>
      </c>
      <c r="K16" s="6">
        <v>-1611651</v>
      </c>
    </row>
    <row r="17" spans="1:11" ht="27" customHeight="1" x14ac:dyDescent="0.6">
      <c r="A17" s="31" t="s">
        <v>18</v>
      </c>
      <c r="B17" s="33" t="s">
        <v>40</v>
      </c>
      <c r="C17" s="30"/>
      <c r="D17" s="4">
        <v>126293</v>
      </c>
      <c r="E17" s="4">
        <v>-4563</v>
      </c>
      <c r="F17" s="4">
        <v>-118775</v>
      </c>
      <c r="G17" s="4">
        <v>2955</v>
      </c>
      <c r="H17" s="4">
        <v>-1669011</v>
      </c>
      <c r="I17" s="4">
        <v>320550</v>
      </c>
      <c r="J17" s="4">
        <v>1331025</v>
      </c>
      <c r="K17" s="6">
        <v>-17436</v>
      </c>
    </row>
    <row r="18" spans="1:11" ht="67.5" x14ac:dyDescent="0.6">
      <c r="A18" s="34"/>
      <c r="B18" s="35" t="s">
        <v>40</v>
      </c>
      <c r="C18" s="13" t="s">
        <v>41</v>
      </c>
      <c r="D18" s="4">
        <v>123397</v>
      </c>
      <c r="E18" s="4">
        <v>-4622</v>
      </c>
      <c r="F18" s="4">
        <v>-118775</v>
      </c>
      <c r="G18" s="3">
        <v>0</v>
      </c>
      <c r="H18" s="4">
        <v>1581006</v>
      </c>
      <c r="I18" s="4">
        <v>-13664</v>
      </c>
      <c r="J18" s="4">
        <v>-1567342</v>
      </c>
      <c r="K18" s="5">
        <v>0</v>
      </c>
    </row>
    <row r="19" spans="1:11" ht="67.5" x14ac:dyDescent="0.6">
      <c r="A19" s="34"/>
      <c r="B19" s="36"/>
      <c r="C19" s="13" t="s">
        <v>42</v>
      </c>
      <c r="D19" s="3">
        <v>-170</v>
      </c>
      <c r="E19" s="3">
        <v>-44</v>
      </c>
      <c r="F19" s="3">
        <v>0</v>
      </c>
      <c r="G19" s="3">
        <v>-214</v>
      </c>
      <c r="H19" s="4">
        <v>-61097</v>
      </c>
      <c r="I19" s="3">
        <v>805</v>
      </c>
      <c r="J19" s="3">
        <v>0</v>
      </c>
      <c r="K19" s="6">
        <v>-60292</v>
      </c>
    </row>
    <row r="20" spans="1:11" ht="27" x14ac:dyDescent="0.6">
      <c r="A20" s="34"/>
      <c r="B20" s="37"/>
      <c r="C20" s="13" t="s">
        <v>16</v>
      </c>
      <c r="D20" s="4">
        <v>3066</v>
      </c>
      <c r="E20" s="3">
        <v>103</v>
      </c>
      <c r="F20" s="3">
        <v>0</v>
      </c>
      <c r="G20" s="4">
        <v>3169</v>
      </c>
      <c r="H20" s="4">
        <v>-3188920</v>
      </c>
      <c r="I20" s="4">
        <v>333409</v>
      </c>
      <c r="J20" s="4">
        <v>2898367</v>
      </c>
      <c r="K20" s="6">
        <v>42856</v>
      </c>
    </row>
    <row r="21" spans="1:11" ht="27" customHeight="1" x14ac:dyDescent="0.6">
      <c r="A21" s="34"/>
      <c r="B21" s="33" t="s">
        <v>43</v>
      </c>
      <c r="C21" s="30"/>
      <c r="D21" s="4">
        <v>-2583</v>
      </c>
      <c r="E21" s="4">
        <v>-1639</v>
      </c>
      <c r="F21" s="4">
        <v>-51994</v>
      </c>
      <c r="G21" s="4">
        <v>-56216</v>
      </c>
      <c r="H21" s="4">
        <v>263504</v>
      </c>
      <c r="I21" s="4">
        <v>-163166</v>
      </c>
      <c r="J21" s="4">
        <v>-1568787</v>
      </c>
      <c r="K21" s="6">
        <v>-1468449</v>
      </c>
    </row>
    <row r="22" spans="1:11" ht="67.5" x14ac:dyDescent="0.6">
      <c r="A22" s="34"/>
      <c r="B22" s="35" t="s">
        <v>43</v>
      </c>
      <c r="C22" s="13" t="s">
        <v>44</v>
      </c>
      <c r="D22" s="3">
        <v>0</v>
      </c>
      <c r="E22" s="4">
        <v>-1639</v>
      </c>
      <c r="F22" s="3">
        <v>0</v>
      </c>
      <c r="G22" s="4">
        <v>-1639</v>
      </c>
      <c r="H22" s="3">
        <v>0</v>
      </c>
      <c r="I22" s="4">
        <v>-163166</v>
      </c>
      <c r="J22" s="3">
        <v>0</v>
      </c>
      <c r="K22" s="6">
        <v>-163166</v>
      </c>
    </row>
    <row r="23" spans="1:11" ht="40.5" x14ac:dyDescent="0.6">
      <c r="A23" s="34"/>
      <c r="B23" s="36"/>
      <c r="C23" s="13" t="s">
        <v>45</v>
      </c>
      <c r="D23" s="3">
        <v>0</v>
      </c>
      <c r="E23" s="3">
        <v>0</v>
      </c>
      <c r="F23" s="4">
        <v>-51994</v>
      </c>
      <c r="G23" s="4">
        <v>-51994</v>
      </c>
      <c r="H23" s="3">
        <v>0</v>
      </c>
      <c r="I23" s="3">
        <v>0</v>
      </c>
      <c r="J23" s="4">
        <v>-1568787</v>
      </c>
      <c r="K23" s="6">
        <v>-1568787</v>
      </c>
    </row>
    <row r="24" spans="1:11" x14ac:dyDescent="0.6">
      <c r="A24" s="34"/>
      <c r="B24" s="37"/>
      <c r="C24" s="13" t="s">
        <v>17</v>
      </c>
      <c r="D24" s="4">
        <v>-2583</v>
      </c>
      <c r="E24" s="3">
        <v>0</v>
      </c>
      <c r="F24" s="3">
        <v>0</v>
      </c>
      <c r="G24" s="4">
        <v>-2583</v>
      </c>
      <c r="H24" s="4">
        <v>263504</v>
      </c>
      <c r="I24" s="3">
        <v>0</v>
      </c>
      <c r="J24" s="3">
        <v>0</v>
      </c>
      <c r="K24" s="6">
        <v>263504</v>
      </c>
    </row>
    <row r="25" spans="1:11" ht="27" customHeight="1" x14ac:dyDescent="0.6">
      <c r="A25" s="32"/>
      <c r="B25" s="33" t="s">
        <v>46</v>
      </c>
      <c r="C25" s="30"/>
      <c r="D25" s="3">
        <v>-175</v>
      </c>
      <c r="E25" s="3">
        <v>10</v>
      </c>
      <c r="F25" s="3">
        <v>0</v>
      </c>
      <c r="G25" s="3">
        <v>-165</v>
      </c>
      <c r="H25" s="4">
        <v>-92783</v>
      </c>
      <c r="I25" s="4">
        <v>-32983</v>
      </c>
      <c r="J25" s="3">
        <v>0</v>
      </c>
      <c r="K25" s="6">
        <v>-125766</v>
      </c>
    </row>
    <row r="26" spans="1:11" x14ac:dyDescent="0.6">
      <c r="A26" s="28" t="s">
        <v>47</v>
      </c>
      <c r="B26" s="29"/>
      <c r="C26" s="30"/>
      <c r="D26" s="4">
        <v>167933</v>
      </c>
      <c r="E26" s="3">
        <v>0</v>
      </c>
      <c r="F26" s="4">
        <v>18718</v>
      </c>
      <c r="G26" s="4">
        <v>186651</v>
      </c>
      <c r="H26" s="4">
        <v>-429837</v>
      </c>
      <c r="I26" s="3">
        <v>0</v>
      </c>
      <c r="J26" s="4">
        <v>483569</v>
      </c>
      <c r="K26" s="6">
        <v>53732</v>
      </c>
    </row>
    <row r="27" spans="1:11" ht="27" customHeight="1" x14ac:dyDescent="0.6">
      <c r="A27" s="31" t="s">
        <v>47</v>
      </c>
      <c r="B27" s="33" t="s">
        <v>48</v>
      </c>
      <c r="C27" s="30"/>
      <c r="D27" s="4">
        <v>578251</v>
      </c>
      <c r="E27" s="3">
        <v>0</v>
      </c>
      <c r="F27" s="4">
        <v>18718</v>
      </c>
      <c r="G27" s="4">
        <v>596969</v>
      </c>
      <c r="H27" s="4">
        <v>116156</v>
      </c>
      <c r="I27" s="3">
        <v>0</v>
      </c>
      <c r="J27" s="4">
        <v>483569</v>
      </c>
      <c r="K27" s="6">
        <v>599725</v>
      </c>
    </row>
    <row r="28" spans="1:11" ht="27" customHeight="1" x14ac:dyDescent="0.6">
      <c r="A28" s="32"/>
      <c r="B28" s="33" t="s">
        <v>49</v>
      </c>
      <c r="C28" s="30"/>
      <c r="D28" s="4">
        <v>-410318</v>
      </c>
      <c r="E28" s="3">
        <v>0</v>
      </c>
      <c r="F28" s="3">
        <v>0</v>
      </c>
      <c r="G28" s="4">
        <v>-410318</v>
      </c>
      <c r="H28" s="4">
        <v>-545993</v>
      </c>
      <c r="I28" s="3">
        <v>0</v>
      </c>
      <c r="J28" s="3">
        <v>0</v>
      </c>
      <c r="K28" s="6">
        <v>-545993</v>
      </c>
    </row>
    <row r="29" spans="1:11" x14ac:dyDescent="0.6">
      <c r="A29" s="28" t="s">
        <v>50</v>
      </c>
      <c r="B29" s="29"/>
      <c r="C29" s="30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5">
        <v>0</v>
      </c>
    </row>
    <row r="30" spans="1:11" x14ac:dyDescent="0.6">
      <c r="A30" s="28" t="s">
        <v>19</v>
      </c>
      <c r="B30" s="29"/>
      <c r="C30" s="30"/>
      <c r="D30" s="4">
        <v>-1124018</v>
      </c>
      <c r="E30" s="3">
        <v>0</v>
      </c>
      <c r="F30" s="3">
        <v>0</v>
      </c>
      <c r="G30" s="4">
        <v>-1124018</v>
      </c>
      <c r="H30" s="4">
        <v>-401114</v>
      </c>
      <c r="I30" s="3">
        <v>0</v>
      </c>
      <c r="J30" s="3">
        <v>0</v>
      </c>
      <c r="K30" s="6">
        <v>-401114</v>
      </c>
    </row>
    <row r="31" spans="1:11" x14ac:dyDescent="0.6">
      <c r="A31" s="31" t="s">
        <v>19</v>
      </c>
      <c r="B31" s="33" t="s">
        <v>51</v>
      </c>
      <c r="C31" s="30"/>
      <c r="D31" s="4">
        <v>905094</v>
      </c>
      <c r="E31" s="3">
        <v>0</v>
      </c>
      <c r="F31" s="3">
        <v>0</v>
      </c>
      <c r="G31" s="4">
        <v>905094</v>
      </c>
      <c r="H31" s="4">
        <v>12891454</v>
      </c>
      <c r="I31" s="3">
        <v>0</v>
      </c>
      <c r="J31" s="3">
        <v>0</v>
      </c>
      <c r="K31" s="6">
        <v>12891454</v>
      </c>
    </row>
    <row r="32" spans="1:11" ht="27" customHeight="1" x14ac:dyDescent="0.6">
      <c r="A32" s="34"/>
      <c r="B32" s="33" t="s">
        <v>52</v>
      </c>
      <c r="C32" s="30"/>
      <c r="D32" s="4">
        <v>-2027282</v>
      </c>
      <c r="E32" s="3">
        <v>0</v>
      </c>
      <c r="F32" s="3">
        <v>0</v>
      </c>
      <c r="G32" s="4">
        <v>-2027282</v>
      </c>
      <c r="H32" s="4">
        <v>-9875027</v>
      </c>
      <c r="I32" s="3">
        <v>0</v>
      </c>
      <c r="J32" s="3">
        <v>0</v>
      </c>
      <c r="K32" s="6">
        <v>-9875027</v>
      </c>
    </row>
    <row r="33" spans="1:11" ht="27" customHeight="1" x14ac:dyDescent="0.6">
      <c r="A33" s="32"/>
      <c r="B33" s="33" t="s">
        <v>53</v>
      </c>
      <c r="C33" s="30"/>
      <c r="D33" s="4">
        <v>-1830</v>
      </c>
      <c r="E33" s="3">
        <v>0</v>
      </c>
      <c r="F33" s="3">
        <v>0</v>
      </c>
      <c r="G33" s="4">
        <v>-1830</v>
      </c>
      <c r="H33" s="4">
        <v>-3417541</v>
      </c>
      <c r="I33" s="3">
        <v>0</v>
      </c>
      <c r="J33" s="3">
        <v>0</v>
      </c>
      <c r="K33" s="6">
        <v>-3417541</v>
      </c>
    </row>
    <row r="34" spans="1:11" x14ac:dyDescent="0.6">
      <c r="A34" s="28" t="s">
        <v>54</v>
      </c>
      <c r="B34" s="29"/>
      <c r="C34" s="30"/>
      <c r="D34" s="4">
        <v>18995942</v>
      </c>
      <c r="E34" s="4">
        <v>11680</v>
      </c>
      <c r="F34" s="4">
        <v>525226</v>
      </c>
      <c r="G34" s="4">
        <v>19532848</v>
      </c>
      <c r="H34" s="4">
        <v>6051537</v>
      </c>
      <c r="I34" s="4">
        <v>1884011</v>
      </c>
      <c r="J34" s="4">
        <v>13642438</v>
      </c>
      <c r="K34" s="6">
        <v>21577986</v>
      </c>
    </row>
    <row r="35" spans="1:11" ht="27" customHeight="1" x14ac:dyDescent="0.6">
      <c r="A35" s="31" t="s">
        <v>54</v>
      </c>
      <c r="B35" s="33" t="s">
        <v>55</v>
      </c>
      <c r="C35" s="30"/>
      <c r="D35" s="4">
        <v>18995943</v>
      </c>
      <c r="E35" s="4">
        <v>11680</v>
      </c>
      <c r="F35" s="4">
        <v>525226</v>
      </c>
      <c r="G35" s="4">
        <v>19532849</v>
      </c>
      <c r="H35" s="4">
        <v>6051537</v>
      </c>
      <c r="I35" s="4">
        <v>1884011</v>
      </c>
      <c r="J35" s="4">
        <v>13642438</v>
      </c>
      <c r="K35" s="6">
        <v>21577986</v>
      </c>
    </row>
    <row r="36" spans="1:11" ht="27" customHeight="1" x14ac:dyDescent="0.6">
      <c r="A36" s="38"/>
      <c r="B36" s="39" t="s">
        <v>56</v>
      </c>
      <c r="C36" s="40"/>
      <c r="D36" s="7">
        <v>1</v>
      </c>
      <c r="E36" s="7">
        <v>0</v>
      </c>
      <c r="F36" s="7">
        <v>0</v>
      </c>
      <c r="G36" s="7">
        <v>1</v>
      </c>
      <c r="H36" s="7">
        <v>0</v>
      </c>
      <c r="I36" s="7">
        <v>0</v>
      </c>
      <c r="J36" s="7">
        <v>0</v>
      </c>
      <c r="K36" s="17">
        <v>0</v>
      </c>
    </row>
  </sheetData>
  <mergeCells count="39">
    <mergeCell ref="A34:C34"/>
    <mergeCell ref="A35:A36"/>
    <mergeCell ref="B35:C35"/>
    <mergeCell ref="B36:C36"/>
    <mergeCell ref="A30:C30"/>
    <mergeCell ref="A31:A33"/>
    <mergeCell ref="B31:C31"/>
    <mergeCell ref="B32:C32"/>
    <mergeCell ref="B33:C33"/>
    <mergeCell ref="A26:C26"/>
    <mergeCell ref="A27:A28"/>
    <mergeCell ref="B27:C27"/>
    <mergeCell ref="B28:C28"/>
    <mergeCell ref="A29:C29"/>
    <mergeCell ref="A16:C16"/>
    <mergeCell ref="A17:A25"/>
    <mergeCell ref="B17:C17"/>
    <mergeCell ref="B18:B20"/>
    <mergeCell ref="B21:C21"/>
    <mergeCell ref="B22:B24"/>
    <mergeCell ref="B25:C25"/>
    <mergeCell ref="H11:J11"/>
    <mergeCell ref="K11:K12"/>
    <mergeCell ref="A13:C13"/>
    <mergeCell ref="A14:A15"/>
    <mergeCell ref="B14:C14"/>
    <mergeCell ref="B15:C15"/>
    <mergeCell ref="A1:B1"/>
    <mergeCell ref="D3:K3"/>
    <mergeCell ref="D4:K4"/>
    <mergeCell ref="D5:K5"/>
    <mergeCell ref="D6:G6"/>
    <mergeCell ref="H6:K6"/>
    <mergeCell ref="D7:K7"/>
    <mergeCell ref="D8:K8"/>
    <mergeCell ref="D9:K9"/>
    <mergeCell ref="D10:K10"/>
    <mergeCell ref="D11:F11"/>
    <mergeCell ref="G11:G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2026-06-01T14:37:24Z</dcterms:modified>
</cp:coreProperties>
</file>