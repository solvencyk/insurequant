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8A570F18-FC2B-4B4E-B9B8-886768AD14C2}" xr6:coauthVersionLast="47" xr6:coauthVersionMax="47" xr10:uidLastSave="{00000000-0000-0000-0000-000000000000}"/>
  <bookViews>
    <workbookView xWindow="1440" yWindow="1440" windowWidth="16200" windowHeight="9570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6" i="2"/>
  <c r="H4" i="2"/>
  <c r="H3" i="2"/>
  <c r="H2" i="2"/>
  <c r="H32" i="2"/>
  <c r="H31" i="2"/>
  <c r="H27" i="2"/>
  <c r="H26" i="2"/>
  <c r="H24" i="2"/>
  <c r="H23" i="2"/>
  <c r="H22" i="2"/>
  <c r="H25" i="2" l="1"/>
  <c r="H5" i="2" l="1"/>
</calcChain>
</file>

<file path=xl/sharedStrings.xml><?xml version="1.0" encoding="utf-8"?>
<sst xmlns="http://schemas.openxmlformats.org/spreadsheetml/2006/main" count="321" uniqueCount="60">
  <si>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</si>
  <si>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</si>
  <si>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</si>
  <si>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</si>
  <si>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</si>
  <si>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</si>
  <si>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</si>
  <si>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1" type="noConversion"/>
  </si>
  <si>
    <t>신계약 CSM</t>
    <phoneticPr fontId="1" type="noConversion"/>
  </si>
  <si>
    <t>이자 부리</t>
    <phoneticPr fontId="1" type="noConversion"/>
  </si>
  <si>
    <t>CSM 상각</t>
    <phoneticPr fontId="1" type="noConversion"/>
  </si>
  <si>
    <t>기말 CSM</t>
    <phoneticPr fontId="1" type="noConversion"/>
  </si>
  <si>
    <t>보험계약마진</t>
  </si>
  <si>
    <t>가정 및 경험 조정 등</t>
    <phoneticPr fontId="1" type="noConversion"/>
  </si>
  <si>
    <t>생명보험</t>
    <phoneticPr fontId="1" type="noConversion"/>
  </si>
  <si>
    <t>-</t>
  </si>
  <si>
    <t>(단위 : 백만원)</t>
  </si>
  <si>
    <t>구  분</t>
  </si>
  <si>
    <t>비금융위험에</t>
  </si>
  <si>
    <t>보험계약부채</t>
  </si>
  <si>
    <t>소계</t>
  </si>
  <si>
    <t>계</t>
    <phoneticPr fontId="1" type="noConversion"/>
  </si>
  <si>
    <t>(8) 당기와 전기 중 보험료배분접근법을 적용하지 않은 보험계약부채의 측정요소별 변동내역은 다음과 같습니다.</t>
  </si>
  <si>
    <t>1) 유배당보험</t>
  </si>
  <si>
    <t>① 제37(당)기</t>
  </si>
  <si>
    <t>미래 현금흐름의 현재가치</t>
  </si>
  <si>
    <t>추정치</t>
  </si>
  <si>
    <t>대한</t>
  </si>
  <si>
    <t>위험조정</t>
  </si>
  <si>
    <t>합  계</t>
  </si>
  <si>
    <t>기초</t>
  </si>
  <si>
    <t>미래 서비스와관련된 변동분</t>
  </si>
  <si>
    <t>보험계약마진 조정 추정치 변동분</t>
  </si>
  <si>
    <t>보험계약마진 미조정 추정치 변동분</t>
  </si>
  <si>
    <t>당기 신계약의 최초인식효과</t>
  </si>
  <si>
    <t>소   계</t>
  </si>
  <si>
    <t>현행 서비스와관련된 변동분</t>
  </si>
  <si>
    <t>보험계약마진 상각</t>
  </si>
  <si>
    <t>위험조정 변동</t>
  </si>
  <si>
    <t>경험조정</t>
  </si>
  <si>
    <t>과거 서비스와관련된 변동분</t>
  </si>
  <si>
    <t>발생사고 요소조정</t>
  </si>
  <si>
    <t>보험금융손익</t>
  </si>
  <si>
    <t>당기손익</t>
  </si>
  <si>
    <t>기타포괄손익</t>
  </si>
  <si>
    <t>해당 기간의</t>
  </si>
  <si>
    <t>현금흐름</t>
  </si>
  <si>
    <t>수취 보험료</t>
  </si>
  <si>
    <t>보험 취득 현금흐름 지급</t>
  </si>
  <si>
    <t>보험금 및 기타 보험서비스비용 지급</t>
  </si>
  <si>
    <t>투자요소 수취(지급) 및 보험료 환급</t>
  </si>
  <si>
    <t>기타증감</t>
  </si>
  <si>
    <t>기말</t>
  </si>
  <si>
    <t>2) 무배당보험</t>
  </si>
  <si>
    <t>3) 변액보험</t>
  </si>
  <si>
    <t>수정소급법 적용 보험계약</t>
    <phoneticPr fontId="1" type="noConversion"/>
  </si>
  <si>
    <t>공정가치법 적용 보험계약</t>
    <phoneticPr fontId="1" type="noConversion"/>
  </si>
  <si>
    <t>전환이후 보험계약</t>
    <phoneticPr fontId="1" type="noConversion"/>
  </si>
  <si>
    <t>신한라이프</t>
    <phoneticPr fontId="1" type="noConversion"/>
  </si>
  <si>
    <t>2025.4Q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</si>
</sst>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  <font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 applyAlignment="1">
      <alignment horizontal="justify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3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3" fontId="3" fillId="0" borderId="6" xfId="0" applyNumberFormat="1" applyFont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right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3" fontId="3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L32"/>
  <sheetViews>
    <sheetView tabSelected="1" workbookViewId="0"/>
  </sheetViews>
  <sheetFormatPr defaultRowHeight="16.899999999999999" x14ac:dyDescent="0.6"/>
  <cols>
    <col min="8" max="8" width="15.1875" bestFit="1" customWidth="1"/>
  </cols>
  <sheetData>
    <row r="1" spans="1:1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</v>
      </c>
    </row>
    <row r="2" spans="1:12" x14ac:dyDescent="0.6">
      <c r="A2" s="2"/>
      <c r="B2" s="2" t="s">
        <v>58</v>
      </c>
      <c r="C2" s="2"/>
      <c r="D2" s="2" t="s">
        <v>14</v>
      </c>
      <c r="E2" s="2">
        <v>1</v>
      </c>
      <c r="F2" s="2" t="s">
        <v>7</v>
      </c>
      <c r="G2" s="2" t="s">
        <v>59</v>
      </c>
      <c r="H2" s="1">
        <f>부문별!H8+부문별!H35+부문별!H61</f>
        <v>7224115</v>
      </c>
      <c r="L2" s="1"/>
    </row>
    <row r="3" spans="1:12" x14ac:dyDescent="0.6">
      <c r="A3" s="2"/>
      <c r="B3" s="2" t="s">
        <v>58</v>
      </c>
      <c r="C3" s="2"/>
      <c r="D3" s="2" t="s">
        <v>14</v>
      </c>
      <c r="E3" s="2">
        <v>2</v>
      </c>
      <c r="F3" s="2" t="s">
        <v>8</v>
      </c>
      <c r="G3" s="2" t="s">
        <v>59</v>
      </c>
      <c r="H3" s="1">
        <f>부문별!H11+부문별!H38+부문별!H64</f>
        <v>1645998</v>
      </c>
    </row>
    <row r="4" spans="1:12" x14ac:dyDescent="0.6">
      <c r="A4" s="2"/>
      <c r="B4" s="2" t="s">
        <v>58</v>
      </c>
      <c r="C4" s="2"/>
      <c r="D4" s="2" t="s">
        <v>14</v>
      </c>
      <c r="E4">
        <v>3</v>
      </c>
      <c r="F4" s="2" t="s">
        <v>9</v>
      </c>
      <c r="G4" t="s">
        <v>59</v>
      </c>
      <c r="H4" s="1">
        <f>부문별!H20+부문별!H47+부문별!H73</f>
        <v>265865</v>
      </c>
    </row>
    <row r="5" spans="1:12" x14ac:dyDescent="0.6">
      <c r="A5" s="2"/>
      <c r="B5" s="2" t="s">
        <v>58</v>
      </c>
      <c r="C5" s="2"/>
      <c r="D5" s="2" t="s">
        <v>14</v>
      </c>
      <c r="E5" s="2">
        <v>4</v>
      </c>
      <c r="F5" s="2" t="s">
        <v>13</v>
      </c>
      <c r="G5" t="s">
        <v>59</v>
      </c>
      <c r="H5" s="1">
        <f t="shared" ref="H5" si="0">H7-H6-H4-H3-H2</f>
        <v>-847015</v>
      </c>
    </row>
    <row r="6" spans="1:12" x14ac:dyDescent="0.6">
      <c r="A6" s="2"/>
      <c r="B6" s="2" t="s">
        <v>58</v>
      </c>
      <c r="C6" s="2"/>
      <c r="D6" s="2" t="s">
        <v>14</v>
      </c>
      <c r="E6" s="2">
        <v>5</v>
      </c>
      <c r="F6" s="2" t="s">
        <v>10</v>
      </c>
      <c r="G6" t="s">
        <v>59</v>
      </c>
      <c r="H6" s="1">
        <f>부문별!H13+부문별!H40+부문별!H66</f>
        <v>-735229</v>
      </c>
    </row>
    <row r="7" spans="1:12" x14ac:dyDescent="0.6">
      <c r="A7" s="2"/>
      <c r="B7" s="2" t="s">
        <v>58</v>
      </c>
      <c r="C7" s="2"/>
      <c r="D7" s="2" t="s">
        <v>14</v>
      </c>
      <c r="E7" s="2">
        <v>6</v>
      </c>
      <c r="F7" s="2" t="s">
        <v>11</v>
      </c>
      <c r="G7" t="s">
        <v>59</v>
      </c>
      <c r="H7" s="1">
        <f>부문별!H27+부문별!H53+부문별!H79</f>
        <v>7553734</v>
      </c>
    </row>
    <row r="8" spans="1:12" x14ac:dyDescent="0.6">
      <c r="A8" s="2"/>
      <c r="B8" s="2"/>
      <c r="C8" s="2"/>
      <c r="D8" s="2"/>
      <c r="H8" s="1"/>
    </row>
    <row r="9" spans="1:12" x14ac:dyDescent="0.6">
      <c r="A9" s="2"/>
      <c r="B9" s="2"/>
      <c r="C9" s="2"/>
      <c r="D9" s="2"/>
    </row>
    <row r="10" spans="1:12" x14ac:dyDescent="0.6">
      <c r="A10" s="2"/>
      <c r="B10" s="2"/>
      <c r="C10" s="2"/>
      <c r="D10" s="2"/>
      <c r="H10" s="1"/>
    </row>
    <row r="11" spans="1:12" x14ac:dyDescent="0.6">
      <c r="A11" s="2"/>
      <c r="B11" s="2"/>
      <c r="C11" s="2"/>
      <c r="D11" s="2"/>
      <c r="H11" s="1"/>
    </row>
    <row r="12" spans="1:12" x14ac:dyDescent="0.6">
      <c r="A12" s="2"/>
      <c r="B12" s="2"/>
      <c r="C12" s="2"/>
      <c r="D12" s="2"/>
    </row>
    <row r="13" spans="1:12" x14ac:dyDescent="0.6">
      <c r="A13" s="2"/>
      <c r="B13" s="2"/>
      <c r="C13" s="2"/>
      <c r="D13" s="2"/>
      <c r="H13" s="1"/>
    </row>
    <row r="14" spans="1:12" x14ac:dyDescent="0.6">
      <c r="A14" s="2"/>
      <c r="B14" s="2"/>
      <c r="C14" s="2"/>
      <c r="D14" s="2"/>
      <c r="H14" s="1"/>
    </row>
    <row r="15" spans="1:12" x14ac:dyDescent="0.6">
      <c r="A15" s="2"/>
      <c r="B15" s="2"/>
      <c r="C15" s="2"/>
      <c r="D15" s="2"/>
      <c r="H15" s="1"/>
    </row>
    <row r="16" spans="1:12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2" spans="1:8" x14ac:dyDescent="0.6">
      <c r="H22" s="1" t="e">
        <f>SUM(부문별!#REF!)</f>
        <v>#REF!</v>
      </c>
    </row>
    <row r="23" spans="1:8" x14ac:dyDescent="0.6">
      <c r="H23" s="1" t="e">
        <f>SUM(부문별!#REF!)</f>
        <v>#REF!</v>
      </c>
    </row>
    <row r="24" spans="1:8" x14ac:dyDescent="0.6">
      <c r="H24" s="1" t="e">
        <f>SUM(부문별!#REF!)</f>
        <v>#REF!</v>
      </c>
    </row>
    <row r="25" spans="1:8" x14ac:dyDescent="0.6">
      <c r="H25" s="1" t="e">
        <f t="shared" ref="H25" si="1">H27-H26-H24-H23-H22</f>
        <v>#REF!</v>
      </c>
    </row>
    <row r="26" spans="1:8" x14ac:dyDescent="0.6">
      <c r="H26" s="1" t="e">
        <f>SUM(부문별!#REF!)</f>
        <v>#REF!</v>
      </c>
    </row>
    <row r="27" spans="1:8" x14ac:dyDescent="0.6">
      <c r="H27" s="1" t="e">
        <f>SUM(부문별!#REF!)</f>
        <v>#REF!</v>
      </c>
    </row>
    <row r="31" spans="1:8" x14ac:dyDescent="0.6">
      <c r="H31" s="1" t="e">
        <f>SUM(부문별!#REF!)</f>
        <v>#REF!</v>
      </c>
    </row>
    <row r="32" spans="1:8" x14ac:dyDescent="0.6">
      <c r="H32" s="1" t="e">
        <f>SUM(부문별!#REF!)</f>
        <v>#REF!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I79"/>
  <sheetViews>
    <sheetView topLeftCell="A74" zoomScale="71" zoomScaleNormal="40" workbookViewId="0">
      <selection activeCell="F8" sqref="F8"/>
    </sheetView>
  </sheetViews>
  <sheetFormatPr defaultRowHeight="16.899999999999999" x14ac:dyDescent="0.6"/>
  <sheetData>
    <row r="1" spans="1:9" ht="49.9" x14ac:dyDescent="0.6">
      <c r="A1" s="3" t="s">
        <v>22</v>
      </c>
    </row>
    <row r="2" spans="1:9" x14ac:dyDescent="0.6">
      <c r="A2" s="3" t="s">
        <v>23</v>
      </c>
    </row>
    <row r="3" spans="1:9" x14ac:dyDescent="0.6">
      <c r="A3" s="3" t="s">
        <v>24</v>
      </c>
    </row>
    <row r="4" spans="1:9" x14ac:dyDescent="0.6">
      <c r="A4" s="21" t="s">
        <v>16</v>
      </c>
      <c r="B4" s="22"/>
      <c r="C4" s="22"/>
      <c r="D4" s="22"/>
      <c r="E4" s="22"/>
      <c r="F4" s="22"/>
      <c r="G4" s="22"/>
      <c r="H4" s="22"/>
      <c r="I4" s="23"/>
    </row>
    <row r="5" spans="1:9" ht="40.5" x14ac:dyDescent="0.6">
      <c r="A5" s="24" t="s">
        <v>17</v>
      </c>
      <c r="B5" s="25"/>
      <c r="C5" s="4" t="s">
        <v>25</v>
      </c>
      <c r="D5" s="4" t="s">
        <v>18</v>
      </c>
      <c r="E5" s="29" t="s">
        <v>12</v>
      </c>
      <c r="F5" s="30"/>
      <c r="G5" s="30"/>
      <c r="H5" s="25"/>
      <c r="I5" s="33" t="s">
        <v>29</v>
      </c>
    </row>
    <row r="6" spans="1:9" x14ac:dyDescent="0.6">
      <c r="A6" s="26"/>
      <c r="B6" s="27"/>
      <c r="C6" s="5" t="s">
        <v>26</v>
      </c>
      <c r="D6" s="5" t="s">
        <v>27</v>
      </c>
      <c r="E6" s="31"/>
      <c r="F6" s="32"/>
      <c r="G6" s="32"/>
      <c r="H6" s="28"/>
      <c r="I6" s="34"/>
    </row>
    <row r="7" spans="1:9" ht="40.5" x14ac:dyDescent="0.6">
      <c r="A7" s="26"/>
      <c r="B7" s="27"/>
      <c r="C7" s="5"/>
      <c r="D7" s="5" t="s">
        <v>28</v>
      </c>
      <c r="E7" s="4" t="s">
        <v>55</v>
      </c>
      <c r="F7" s="4" t="s">
        <v>56</v>
      </c>
      <c r="G7" s="4" t="s">
        <v>57</v>
      </c>
      <c r="H7" s="4" t="s">
        <v>20</v>
      </c>
      <c r="I7" s="34"/>
    </row>
    <row r="8" spans="1:9" ht="27" x14ac:dyDescent="0.6">
      <c r="A8" s="10" t="s">
        <v>30</v>
      </c>
      <c r="B8" s="7" t="s">
        <v>19</v>
      </c>
      <c r="C8" s="8">
        <v>5179009</v>
      </c>
      <c r="D8" s="8">
        <v>21157</v>
      </c>
      <c r="E8" s="9">
        <v>134</v>
      </c>
      <c r="F8" s="8">
        <v>117952</v>
      </c>
      <c r="G8" s="9">
        <v>448</v>
      </c>
      <c r="H8" s="8">
        <v>118534</v>
      </c>
      <c r="I8" s="11">
        <v>5318700</v>
      </c>
    </row>
    <row r="9" spans="1:9" ht="54" x14ac:dyDescent="0.6">
      <c r="A9" s="35" t="s">
        <v>31</v>
      </c>
      <c r="B9" s="7" t="s">
        <v>32</v>
      </c>
      <c r="C9" s="8">
        <v>-20115</v>
      </c>
      <c r="D9" s="9">
        <v>-479</v>
      </c>
      <c r="E9" s="9">
        <v>90</v>
      </c>
      <c r="F9" s="8">
        <v>20537</v>
      </c>
      <c r="G9" s="9">
        <v>-33</v>
      </c>
      <c r="H9" s="8">
        <v>20594</v>
      </c>
      <c r="I9" s="13" t="s">
        <v>15</v>
      </c>
    </row>
    <row r="10" spans="1:9" ht="54" x14ac:dyDescent="0.6">
      <c r="A10" s="36"/>
      <c r="B10" s="7" t="s">
        <v>33</v>
      </c>
      <c r="C10" s="8">
        <v>-22873</v>
      </c>
      <c r="D10" s="9">
        <v>-928</v>
      </c>
      <c r="E10" s="9" t="s">
        <v>15</v>
      </c>
      <c r="F10" s="9" t="s">
        <v>15</v>
      </c>
      <c r="G10" s="9" t="s">
        <v>15</v>
      </c>
      <c r="H10" s="9" t="s">
        <v>15</v>
      </c>
      <c r="I10" s="11">
        <v>-23801</v>
      </c>
    </row>
    <row r="11" spans="1:9" ht="40.5" x14ac:dyDescent="0.6">
      <c r="A11" s="36"/>
      <c r="B11" s="7" t="s">
        <v>34</v>
      </c>
      <c r="C11" s="8">
        <v>4140</v>
      </c>
      <c r="D11" s="9">
        <v>30</v>
      </c>
      <c r="E11" s="9" t="s">
        <v>15</v>
      </c>
      <c r="F11" s="9" t="s">
        <v>15</v>
      </c>
      <c r="G11" s="9">
        <v>1</v>
      </c>
      <c r="H11" s="9">
        <v>1</v>
      </c>
      <c r="I11" s="11">
        <v>4171</v>
      </c>
    </row>
    <row r="12" spans="1:9" x14ac:dyDescent="0.6">
      <c r="A12" s="37"/>
      <c r="B12" s="6" t="s">
        <v>35</v>
      </c>
      <c r="C12" s="8">
        <v>-38848</v>
      </c>
      <c r="D12" s="8">
        <v>-1377</v>
      </c>
      <c r="E12" s="9">
        <v>90</v>
      </c>
      <c r="F12" s="8">
        <v>20537</v>
      </c>
      <c r="G12" s="9">
        <v>-32</v>
      </c>
      <c r="H12" s="8">
        <v>20595</v>
      </c>
      <c r="I12" s="11">
        <v>-19630</v>
      </c>
    </row>
    <row r="13" spans="1:9" ht="27" x14ac:dyDescent="0.6">
      <c r="A13" s="35" t="s">
        <v>36</v>
      </c>
      <c r="B13" s="7" t="s">
        <v>37</v>
      </c>
      <c r="C13" s="9" t="s">
        <v>15</v>
      </c>
      <c r="D13" s="9" t="s">
        <v>15</v>
      </c>
      <c r="E13" s="9">
        <v>-11</v>
      </c>
      <c r="F13" s="8">
        <v>-12072</v>
      </c>
      <c r="G13" s="9">
        <v>-18</v>
      </c>
      <c r="H13" s="8">
        <v>-12101</v>
      </c>
      <c r="I13" s="11">
        <v>-12101</v>
      </c>
    </row>
    <row r="14" spans="1:9" ht="27" x14ac:dyDescent="0.6">
      <c r="A14" s="36"/>
      <c r="B14" s="7" t="s">
        <v>38</v>
      </c>
      <c r="C14" s="9" t="s">
        <v>15</v>
      </c>
      <c r="D14" s="9">
        <v>-719</v>
      </c>
      <c r="E14" s="9" t="s">
        <v>15</v>
      </c>
      <c r="F14" s="9" t="s">
        <v>15</v>
      </c>
      <c r="G14" s="9" t="s">
        <v>15</v>
      </c>
      <c r="H14" s="9" t="s">
        <v>15</v>
      </c>
      <c r="I14" s="13">
        <v>-719</v>
      </c>
    </row>
    <row r="15" spans="1:9" x14ac:dyDescent="0.6">
      <c r="A15" s="36"/>
      <c r="B15" s="7" t="s">
        <v>39</v>
      </c>
      <c r="C15" s="8">
        <v>-5385</v>
      </c>
      <c r="D15" s="9" t="s">
        <v>15</v>
      </c>
      <c r="E15" s="9" t="s">
        <v>15</v>
      </c>
      <c r="F15" s="9" t="s">
        <v>15</v>
      </c>
      <c r="G15" s="9" t="s">
        <v>15</v>
      </c>
      <c r="H15" s="9" t="s">
        <v>15</v>
      </c>
      <c r="I15" s="11">
        <v>-5385</v>
      </c>
    </row>
    <row r="16" spans="1:9" x14ac:dyDescent="0.6">
      <c r="A16" s="37"/>
      <c r="B16" s="6" t="s">
        <v>35</v>
      </c>
      <c r="C16" s="8">
        <v>-5385</v>
      </c>
      <c r="D16" s="9">
        <v>-719</v>
      </c>
      <c r="E16" s="9">
        <v>-11</v>
      </c>
      <c r="F16" s="8">
        <v>-12072</v>
      </c>
      <c r="G16" s="9">
        <v>-18</v>
      </c>
      <c r="H16" s="8">
        <v>-12101</v>
      </c>
      <c r="I16" s="11">
        <v>-18205</v>
      </c>
    </row>
    <row r="17" spans="1:9" ht="40.5" x14ac:dyDescent="0.6">
      <c r="A17" s="10" t="s">
        <v>40</v>
      </c>
      <c r="B17" s="7" t="s">
        <v>41</v>
      </c>
      <c r="C17" s="9">
        <v>-514</v>
      </c>
      <c r="D17" s="9">
        <v>-138</v>
      </c>
      <c r="E17" s="9" t="s">
        <v>15</v>
      </c>
      <c r="F17" s="9" t="s">
        <v>15</v>
      </c>
      <c r="G17" s="9" t="s">
        <v>15</v>
      </c>
      <c r="H17" s="9" t="s">
        <v>15</v>
      </c>
      <c r="I17" s="13">
        <v>-652</v>
      </c>
    </row>
    <row r="18" spans="1:9" x14ac:dyDescent="0.6">
      <c r="A18" s="35" t="s">
        <v>42</v>
      </c>
      <c r="B18" s="7" t="s">
        <v>43</v>
      </c>
      <c r="C18" s="8">
        <v>168947</v>
      </c>
      <c r="D18" s="9">
        <v>706</v>
      </c>
      <c r="E18" s="9">
        <v>4</v>
      </c>
      <c r="F18" s="8">
        <v>3816</v>
      </c>
      <c r="G18" s="9">
        <v>18</v>
      </c>
      <c r="H18" s="8">
        <v>3838</v>
      </c>
      <c r="I18" s="11">
        <v>173491</v>
      </c>
    </row>
    <row r="19" spans="1:9" ht="27" x14ac:dyDescent="0.6">
      <c r="A19" s="36"/>
      <c r="B19" s="7" t="s">
        <v>44</v>
      </c>
      <c r="C19" s="8">
        <v>-174355</v>
      </c>
      <c r="D19" s="9">
        <v>-390</v>
      </c>
      <c r="E19" s="9" t="s">
        <v>15</v>
      </c>
      <c r="F19" s="9" t="s">
        <v>15</v>
      </c>
      <c r="G19" s="9" t="s">
        <v>15</v>
      </c>
      <c r="H19" s="9" t="s">
        <v>15</v>
      </c>
      <c r="I19" s="11">
        <v>-174745</v>
      </c>
    </row>
    <row r="20" spans="1:9" x14ac:dyDescent="0.6">
      <c r="A20" s="37"/>
      <c r="B20" s="6" t="s">
        <v>35</v>
      </c>
      <c r="C20" s="8">
        <v>-5408</v>
      </c>
      <c r="D20" s="9">
        <v>316</v>
      </c>
      <c r="E20" s="9">
        <v>4</v>
      </c>
      <c r="F20" s="8">
        <v>3816</v>
      </c>
      <c r="G20" s="9">
        <v>18</v>
      </c>
      <c r="H20" s="8">
        <v>3838</v>
      </c>
      <c r="I20" s="11">
        <v>-1254</v>
      </c>
    </row>
    <row r="21" spans="1:9" ht="27" x14ac:dyDescent="0.6">
      <c r="A21" s="12" t="s">
        <v>45</v>
      </c>
      <c r="B21" s="7" t="s">
        <v>47</v>
      </c>
      <c r="C21" s="8">
        <v>52142</v>
      </c>
      <c r="D21" s="9" t="s">
        <v>15</v>
      </c>
      <c r="E21" s="9" t="s">
        <v>15</v>
      </c>
      <c r="F21" s="9" t="s">
        <v>15</v>
      </c>
      <c r="G21" s="9" t="s">
        <v>15</v>
      </c>
      <c r="H21" s="9" t="s">
        <v>15</v>
      </c>
      <c r="I21" s="11">
        <v>52142</v>
      </c>
    </row>
    <row r="22" spans="1:9" ht="40.5" x14ac:dyDescent="0.6">
      <c r="A22" s="14" t="s">
        <v>46</v>
      </c>
      <c r="B22" s="7" t="s">
        <v>48</v>
      </c>
      <c r="C22" s="8">
        <v>-1266</v>
      </c>
      <c r="D22" s="9" t="s">
        <v>15</v>
      </c>
      <c r="E22" s="9" t="s">
        <v>15</v>
      </c>
      <c r="F22" s="9" t="s">
        <v>15</v>
      </c>
      <c r="G22" s="9" t="s">
        <v>15</v>
      </c>
      <c r="H22" s="9" t="s">
        <v>15</v>
      </c>
      <c r="I22" s="11">
        <v>-1266</v>
      </c>
    </row>
    <row r="23" spans="1:9" ht="54" x14ac:dyDescent="0.6">
      <c r="A23" s="14"/>
      <c r="B23" s="7" t="s">
        <v>49</v>
      </c>
      <c r="C23" s="8">
        <v>-31798</v>
      </c>
      <c r="D23" s="9" t="s">
        <v>15</v>
      </c>
      <c r="E23" s="9" t="s">
        <v>15</v>
      </c>
      <c r="F23" s="9" t="s">
        <v>15</v>
      </c>
      <c r="G23" s="9" t="s">
        <v>15</v>
      </c>
      <c r="H23" s="9" t="s">
        <v>15</v>
      </c>
      <c r="I23" s="11">
        <v>-31798</v>
      </c>
    </row>
    <row r="24" spans="1:9" ht="54" x14ac:dyDescent="0.6">
      <c r="A24" s="14"/>
      <c r="B24" s="7" t="s">
        <v>50</v>
      </c>
      <c r="C24" s="8">
        <v>-208048</v>
      </c>
      <c r="D24" s="9" t="s">
        <v>15</v>
      </c>
      <c r="E24" s="9" t="s">
        <v>15</v>
      </c>
      <c r="F24" s="9" t="s">
        <v>15</v>
      </c>
      <c r="G24" s="9" t="s">
        <v>15</v>
      </c>
      <c r="H24" s="9" t="s">
        <v>15</v>
      </c>
      <c r="I24" s="11">
        <v>-208048</v>
      </c>
    </row>
    <row r="25" spans="1:9" x14ac:dyDescent="0.6">
      <c r="A25" s="15"/>
      <c r="B25" s="6" t="s">
        <v>35</v>
      </c>
      <c r="C25" s="8">
        <v>-188970</v>
      </c>
      <c r="D25" s="9" t="s">
        <v>15</v>
      </c>
      <c r="E25" s="9" t="s">
        <v>15</v>
      </c>
      <c r="F25" s="9" t="s">
        <v>15</v>
      </c>
      <c r="G25" s="9" t="s">
        <v>15</v>
      </c>
      <c r="H25" s="9" t="s">
        <v>15</v>
      </c>
      <c r="I25" s="11">
        <v>-188970</v>
      </c>
    </row>
    <row r="26" spans="1:9" x14ac:dyDescent="0.6">
      <c r="A26" s="38" t="s">
        <v>51</v>
      </c>
      <c r="B26" s="39"/>
      <c r="C26" s="9">
        <v>-62</v>
      </c>
      <c r="D26" s="9" t="s">
        <v>15</v>
      </c>
      <c r="E26" s="9" t="s">
        <v>15</v>
      </c>
      <c r="F26" s="9" t="s">
        <v>15</v>
      </c>
      <c r="G26" s="9" t="s">
        <v>15</v>
      </c>
      <c r="H26" s="9" t="s">
        <v>15</v>
      </c>
      <c r="I26" s="13">
        <v>-62</v>
      </c>
    </row>
    <row r="27" spans="1:9" ht="27" x14ac:dyDescent="0.6">
      <c r="A27" s="16" t="s">
        <v>52</v>
      </c>
      <c r="B27" s="17" t="s">
        <v>19</v>
      </c>
      <c r="C27" s="18">
        <v>4939822</v>
      </c>
      <c r="D27" s="18">
        <v>19239</v>
      </c>
      <c r="E27" s="19">
        <v>217</v>
      </c>
      <c r="F27" s="18">
        <v>130233</v>
      </c>
      <c r="G27" s="19">
        <v>416</v>
      </c>
      <c r="H27" s="18">
        <v>130866</v>
      </c>
      <c r="I27" s="20">
        <v>5089927</v>
      </c>
    </row>
    <row r="28" spans="1:9" x14ac:dyDescent="0.6">
      <c r="A28" s="40"/>
      <c r="B28" s="41"/>
      <c r="C28" s="42"/>
      <c r="D28" s="42"/>
      <c r="E28" s="43"/>
      <c r="F28" s="42"/>
      <c r="G28" s="43"/>
      <c r="H28" s="42"/>
      <c r="I28" s="42"/>
    </row>
    <row r="29" spans="1:9" x14ac:dyDescent="0.6">
      <c r="A29" s="3" t="s">
        <v>53</v>
      </c>
    </row>
    <row r="30" spans="1:9" x14ac:dyDescent="0.6">
      <c r="A30" s="3" t="s">
        <v>24</v>
      </c>
    </row>
    <row r="31" spans="1:9" x14ac:dyDescent="0.6">
      <c r="A31" s="21" t="s">
        <v>16</v>
      </c>
      <c r="B31" s="22"/>
      <c r="C31" s="22"/>
      <c r="D31" s="22"/>
      <c r="E31" s="22"/>
      <c r="F31" s="22"/>
      <c r="G31" s="22"/>
      <c r="H31" s="22"/>
      <c r="I31" s="23"/>
    </row>
    <row r="32" spans="1:9" ht="40.5" x14ac:dyDescent="0.6">
      <c r="A32" s="24" t="s">
        <v>17</v>
      </c>
      <c r="B32" s="25"/>
      <c r="C32" s="4" t="s">
        <v>25</v>
      </c>
      <c r="D32" s="4" t="s">
        <v>18</v>
      </c>
      <c r="E32" s="29" t="s">
        <v>12</v>
      </c>
      <c r="F32" s="30"/>
      <c r="G32" s="30"/>
      <c r="H32" s="25"/>
      <c r="I32" s="33" t="s">
        <v>29</v>
      </c>
    </row>
    <row r="33" spans="1:9" x14ac:dyDescent="0.6">
      <c r="A33" s="26"/>
      <c r="B33" s="27"/>
      <c r="C33" s="5" t="s">
        <v>26</v>
      </c>
      <c r="D33" s="5" t="s">
        <v>27</v>
      </c>
      <c r="E33" s="31"/>
      <c r="F33" s="32"/>
      <c r="G33" s="32"/>
      <c r="H33" s="28"/>
      <c r="I33" s="34"/>
    </row>
    <row r="34" spans="1:9" ht="40.5" x14ac:dyDescent="0.6">
      <c r="A34" s="26"/>
      <c r="B34" s="27"/>
      <c r="C34" s="5"/>
      <c r="D34" s="5" t="s">
        <v>28</v>
      </c>
      <c r="E34" s="4" t="s">
        <v>55</v>
      </c>
      <c r="F34" s="4" t="s">
        <v>56</v>
      </c>
      <c r="G34" s="4" t="s">
        <v>57</v>
      </c>
      <c r="H34" s="4" t="s">
        <v>20</v>
      </c>
      <c r="I34" s="34"/>
    </row>
    <row r="35" spans="1:9" ht="27" x14ac:dyDescent="0.6">
      <c r="A35" s="10" t="s">
        <v>30</v>
      </c>
      <c r="B35" s="7" t="s">
        <v>19</v>
      </c>
      <c r="C35" s="8">
        <v>29911930</v>
      </c>
      <c r="D35" s="8">
        <v>1248075</v>
      </c>
      <c r="E35" s="8">
        <v>1586732</v>
      </c>
      <c r="F35" s="8">
        <v>3363834</v>
      </c>
      <c r="G35" s="8">
        <v>2019106</v>
      </c>
      <c r="H35" s="8">
        <v>6969672</v>
      </c>
      <c r="I35" s="11">
        <v>38129677</v>
      </c>
    </row>
    <row r="36" spans="1:9" ht="54" x14ac:dyDescent="0.6">
      <c r="A36" s="35" t="s">
        <v>31</v>
      </c>
      <c r="B36" s="7" t="s">
        <v>32</v>
      </c>
      <c r="C36" s="8">
        <v>986146</v>
      </c>
      <c r="D36" s="8">
        <v>-18155</v>
      </c>
      <c r="E36" s="8">
        <v>-117466</v>
      </c>
      <c r="F36" s="8">
        <v>-218544</v>
      </c>
      <c r="G36" s="8">
        <v>-631981</v>
      </c>
      <c r="H36" s="8">
        <v>-967991</v>
      </c>
      <c r="I36" s="13" t="s">
        <v>15</v>
      </c>
    </row>
    <row r="37" spans="1:9" ht="54" x14ac:dyDescent="0.6">
      <c r="A37" s="36"/>
      <c r="B37" s="7" t="s">
        <v>33</v>
      </c>
      <c r="C37" s="8">
        <v>49807</v>
      </c>
      <c r="D37" s="9">
        <v>404</v>
      </c>
      <c r="E37" s="9" t="s">
        <v>15</v>
      </c>
      <c r="F37" s="9" t="s">
        <v>15</v>
      </c>
      <c r="G37" s="9" t="s">
        <v>15</v>
      </c>
      <c r="H37" s="9" t="s">
        <v>15</v>
      </c>
      <c r="I37" s="11">
        <v>50211</v>
      </c>
    </row>
    <row r="38" spans="1:9" ht="40.5" x14ac:dyDescent="0.6">
      <c r="A38" s="36"/>
      <c r="B38" s="7" t="s">
        <v>34</v>
      </c>
      <c r="C38" s="8">
        <v>-1839501</v>
      </c>
      <c r="D38" s="8">
        <v>222677</v>
      </c>
      <c r="E38" s="9" t="s">
        <v>15</v>
      </c>
      <c r="F38" s="9" t="s">
        <v>15</v>
      </c>
      <c r="G38" s="8">
        <v>1641786</v>
      </c>
      <c r="H38" s="8">
        <v>1641786</v>
      </c>
      <c r="I38" s="11">
        <v>24962</v>
      </c>
    </row>
    <row r="39" spans="1:9" x14ac:dyDescent="0.6">
      <c r="A39" s="37"/>
      <c r="B39" s="6" t="s">
        <v>35</v>
      </c>
      <c r="C39" s="8">
        <v>-803548</v>
      </c>
      <c r="D39" s="8">
        <v>204926</v>
      </c>
      <c r="E39" s="8">
        <v>-117466</v>
      </c>
      <c r="F39" s="8">
        <v>-218544</v>
      </c>
      <c r="G39" s="8">
        <v>1009805</v>
      </c>
      <c r="H39" s="8">
        <v>673795</v>
      </c>
      <c r="I39" s="11">
        <v>75173</v>
      </c>
    </row>
    <row r="40" spans="1:9" ht="27" x14ac:dyDescent="0.6">
      <c r="A40" s="35" t="s">
        <v>36</v>
      </c>
      <c r="B40" s="7" t="s">
        <v>37</v>
      </c>
      <c r="C40" s="9" t="s">
        <v>15</v>
      </c>
      <c r="D40" s="9" t="s">
        <v>15</v>
      </c>
      <c r="E40" s="8">
        <v>-120405</v>
      </c>
      <c r="F40" s="8">
        <v>-283855</v>
      </c>
      <c r="G40" s="8">
        <v>-298804</v>
      </c>
      <c r="H40" s="8">
        <v>-703064</v>
      </c>
      <c r="I40" s="11">
        <v>-703064</v>
      </c>
    </row>
    <row r="41" spans="1:9" ht="27" x14ac:dyDescent="0.6">
      <c r="A41" s="36"/>
      <c r="B41" s="7" t="s">
        <v>38</v>
      </c>
      <c r="C41" s="9" t="s">
        <v>15</v>
      </c>
      <c r="D41" s="8">
        <v>-162621</v>
      </c>
      <c r="E41" s="9" t="s">
        <v>15</v>
      </c>
      <c r="F41" s="9" t="s">
        <v>15</v>
      </c>
      <c r="G41" s="9" t="s">
        <v>15</v>
      </c>
      <c r="H41" s="9" t="s">
        <v>15</v>
      </c>
      <c r="I41" s="11">
        <v>-162621</v>
      </c>
    </row>
    <row r="42" spans="1:9" x14ac:dyDescent="0.6">
      <c r="A42" s="36"/>
      <c r="B42" s="7" t="s">
        <v>39</v>
      </c>
      <c r="C42" s="8">
        <v>92346</v>
      </c>
      <c r="D42" s="9" t="s">
        <v>15</v>
      </c>
      <c r="E42" s="9" t="s">
        <v>15</v>
      </c>
      <c r="F42" s="9" t="s">
        <v>15</v>
      </c>
      <c r="G42" s="9" t="s">
        <v>15</v>
      </c>
      <c r="H42" s="9" t="s">
        <v>15</v>
      </c>
      <c r="I42" s="11">
        <v>92346</v>
      </c>
    </row>
    <row r="43" spans="1:9" x14ac:dyDescent="0.6">
      <c r="A43" s="37"/>
      <c r="B43" s="6" t="s">
        <v>35</v>
      </c>
      <c r="C43" s="8">
        <v>92346</v>
      </c>
      <c r="D43" s="8">
        <v>-162621</v>
      </c>
      <c r="E43" s="8">
        <v>-120405</v>
      </c>
      <c r="F43" s="8">
        <v>-283855</v>
      </c>
      <c r="G43" s="8">
        <v>-298804</v>
      </c>
      <c r="H43" s="8">
        <v>-703064</v>
      </c>
      <c r="I43" s="11">
        <v>-773339</v>
      </c>
    </row>
    <row r="44" spans="1:9" ht="40.5" x14ac:dyDescent="0.6">
      <c r="A44" s="10" t="s">
        <v>40</v>
      </c>
      <c r="B44" s="7" t="s">
        <v>41</v>
      </c>
      <c r="C44" s="8">
        <v>-12447</v>
      </c>
      <c r="D44" s="8">
        <v>-10144</v>
      </c>
      <c r="E44" s="9" t="s">
        <v>15</v>
      </c>
      <c r="F44" s="9" t="s">
        <v>15</v>
      </c>
      <c r="G44" s="9" t="s">
        <v>15</v>
      </c>
      <c r="H44" s="9" t="s">
        <v>15</v>
      </c>
      <c r="I44" s="11">
        <v>-22591</v>
      </c>
    </row>
    <row r="45" spans="1:9" x14ac:dyDescent="0.6">
      <c r="A45" s="35" t="s">
        <v>42</v>
      </c>
      <c r="B45" s="7" t="s">
        <v>43</v>
      </c>
      <c r="C45" s="8">
        <v>1034946</v>
      </c>
      <c r="D45" s="8">
        <v>46857</v>
      </c>
      <c r="E45" s="8">
        <v>48768</v>
      </c>
      <c r="F45" s="8">
        <v>103395</v>
      </c>
      <c r="G45" s="8">
        <v>107084</v>
      </c>
      <c r="H45" s="8">
        <v>259247</v>
      </c>
      <c r="I45" s="11">
        <v>1341050</v>
      </c>
    </row>
    <row r="46" spans="1:9" ht="27" x14ac:dyDescent="0.6">
      <c r="A46" s="36"/>
      <c r="B46" s="7" t="s">
        <v>44</v>
      </c>
      <c r="C46" s="8">
        <v>-1605723</v>
      </c>
      <c r="D46" s="8">
        <v>-27086</v>
      </c>
      <c r="E46" s="9" t="s">
        <v>15</v>
      </c>
      <c r="F46" s="9" t="s">
        <v>15</v>
      </c>
      <c r="G46" s="9" t="s">
        <v>15</v>
      </c>
      <c r="H46" s="9" t="s">
        <v>15</v>
      </c>
      <c r="I46" s="11">
        <v>-1632809</v>
      </c>
    </row>
    <row r="47" spans="1:9" x14ac:dyDescent="0.6">
      <c r="A47" s="37"/>
      <c r="B47" s="6" t="s">
        <v>35</v>
      </c>
      <c r="C47" s="8">
        <v>-570777</v>
      </c>
      <c r="D47" s="8">
        <v>19771</v>
      </c>
      <c r="E47" s="8">
        <v>48768</v>
      </c>
      <c r="F47" s="8">
        <v>103395</v>
      </c>
      <c r="G47" s="8">
        <v>107084</v>
      </c>
      <c r="H47" s="8">
        <v>259247</v>
      </c>
      <c r="I47" s="11">
        <v>-291759</v>
      </c>
    </row>
    <row r="48" spans="1:9" ht="27" x14ac:dyDescent="0.6">
      <c r="A48" s="12" t="s">
        <v>45</v>
      </c>
      <c r="B48" s="7" t="s">
        <v>47</v>
      </c>
      <c r="C48" s="8">
        <v>7185885</v>
      </c>
      <c r="D48" s="9" t="s">
        <v>15</v>
      </c>
      <c r="E48" s="9" t="s">
        <v>15</v>
      </c>
      <c r="F48" s="9" t="s">
        <v>15</v>
      </c>
      <c r="G48" s="9" t="s">
        <v>15</v>
      </c>
      <c r="H48" s="9" t="s">
        <v>15</v>
      </c>
      <c r="I48" s="11">
        <v>7185885</v>
      </c>
    </row>
    <row r="49" spans="1:9" ht="40.5" x14ac:dyDescent="0.6">
      <c r="A49" s="14" t="s">
        <v>46</v>
      </c>
      <c r="B49" s="7" t="s">
        <v>48</v>
      </c>
      <c r="C49" s="8">
        <v>-2027635</v>
      </c>
      <c r="D49" s="9" t="s">
        <v>15</v>
      </c>
      <c r="E49" s="9" t="s">
        <v>15</v>
      </c>
      <c r="F49" s="9" t="s">
        <v>15</v>
      </c>
      <c r="G49" s="9" t="s">
        <v>15</v>
      </c>
      <c r="H49" s="9" t="s">
        <v>15</v>
      </c>
      <c r="I49" s="11">
        <v>-2027635</v>
      </c>
    </row>
    <row r="50" spans="1:9" ht="54" x14ac:dyDescent="0.6">
      <c r="A50" s="14"/>
      <c r="B50" s="7" t="s">
        <v>49</v>
      </c>
      <c r="C50" s="8">
        <v>-1647799</v>
      </c>
      <c r="D50" s="9" t="s">
        <v>15</v>
      </c>
      <c r="E50" s="9" t="s">
        <v>15</v>
      </c>
      <c r="F50" s="9" t="s">
        <v>15</v>
      </c>
      <c r="G50" s="9" t="s">
        <v>15</v>
      </c>
      <c r="H50" s="9" t="s">
        <v>15</v>
      </c>
      <c r="I50" s="11">
        <v>-1647799</v>
      </c>
    </row>
    <row r="51" spans="1:9" ht="54" x14ac:dyDescent="0.6">
      <c r="A51" s="14"/>
      <c r="B51" s="7" t="s">
        <v>50</v>
      </c>
      <c r="C51" s="8">
        <v>-3620450</v>
      </c>
      <c r="D51" s="9" t="s">
        <v>15</v>
      </c>
      <c r="E51" s="9" t="s">
        <v>15</v>
      </c>
      <c r="F51" s="9" t="s">
        <v>15</v>
      </c>
      <c r="G51" s="9" t="s">
        <v>15</v>
      </c>
      <c r="H51" s="9" t="s">
        <v>15</v>
      </c>
      <c r="I51" s="11">
        <v>-3620450</v>
      </c>
    </row>
    <row r="52" spans="1:9" x14ac:dyDescent="0.6">
      <c r="A52" s="15"/>
      <c r="B52" s="6" t="s">
        <v>35</v>
      </c>
      <c r="C52" s="8">
        <v>-109999</v>
      </c>
      <c r="D52" s="9" t="s">
        <v>15</v>
      </c>
      <c r="E52" s="9" t="s">
        <v>15</v>
      </c>
      <c r="F52" s="9" t="s">
        <v>15</v>
      </c>
      <c r="G52" s="9" t="s">
        <v>15</v>
      </c>
      <c r="H52" s="9" t="s">
        <v>15</v>
      </c>
      <c r="I52" s="11">
        <v>-109999</v>
      </c>
    </row>
    <row r="53" spans="1:9" ht="27" x14ac:dyDescent="0.6">
      <c r="A53" s="16" t="s">
        <v>52</v>
      </c>
      <c r="B53" s="17" t="s">
        <v>19</v>
      </c>
      <c r="C53" s="18">
        <v>28507505</v>
      </c>
      <c r="D53" s="18">
        <v>1300007</v>
      </c>
      <c r="E53" s="18">
        <v>1397629</v>
      </c>
      <c r="F53" s="18">
        <v>2964830</v>
      </c>
      <c r="G53" s="18">
        <v>2837191</v>
      </c>
      <c r="H53" s="18">
        <v>7199650</v>
      </c>
      <c r="I53" s="20">
        <v>37007162</v>
      </c>
    </row>
    <row r="54" spans="1:9" x14ac:dyDescent="0.6">
      <c r="A54" s="40"/>
      <c r="B54" s="41"/>
      <c r="C54" s="42"/>
      <c r="D54" s="42"/>
      <c r="E54" s="42"/>
      <c r="F54" s="42"/>
      <c r="G54" s="42"/>
      <c r="H54" s="42"/>
      <c r="I54" s="42"/>
    </row>
    <row r="55" spans="1:9" x14ac:dyDescent="0.6">
      <c r="A55" s="3" t="s">
        <v>54</v>
      </c>
    </row>
    <row r="56" spans="1:9" x14ac:dyDescent="0.6">
      <c r="A56" s="3" t="s">
        <v>24</v>
      </c>
    </row>
    <row r="57" spans="1:9" x14ac:dyDescent="0.6">
      <c r="A57" s="21" t="s">
        <v>16</v>
      </c>
      <c r="B57" s="22"/>
      <c r="C57" s="22"/>
      <c r="D57" s="22"/>
      <c r="E57" s="22"/>
      <c r="F57" s="22"/>
      <c r="G57" s="22"/>
      <c r="H57" s="22"/>
      <c r="I57" s="23"/>
    </row>
    <row r="58" spans="1:9" ht="40.5" x14ac:dyDescent="0.6">
      <c r="A58" s="24" t="s">
        <v>17</v>
      </c>
      <c r="B58" s="25"/>
      <c r="C58" s="4" t="s">
        <v>25</v>
      </c>
      <c r="D58" s="4" t="s">
        <v>18</v>
      </c>
      <c r="E58" s="29" t="s">
        <v>12</v>
      </c>
      <c r="F58" s="30"/>
      <c r="G58" s="30"/>
      <c r="H58" s="25"/>
      <c r="I58" s="33" t="s">
        <v>29</v>
      </c>
    </row>
    <row r="59" spans="1:9" x14ac:dyDescent="0.6">
      <c r="A59" s="26"/>
      <c r="B59" s="27"/>
      <c r="C59" s="5" t="s">
        <v>26</v>
      </c>
      <c r="D59" s="5" t="s">
        <v>27</v>
      </c>
      <c r="E59" s="31"/>
      <c r="F59" s="32"/>
      <c r="G59" s="32"/>
      <c r="H59" s="28"/>
      <c r="I59" s="34"/>
    </row>
    <row r="60" spans="1:9" ht="40.5" x14ac:dyDescent="0.6">
      <c r="A60" s="26"/>
      <c r="B60" s="27"/>
      <c r="C60" s="5"/>
      <c r="D60" s="5" t="s">
        <v>28</v>
      </c>
      <c r="E60" s="4" t="s">
        <v>55</v>
      </c>
      <c r="F60" s="4" t="s">
        <v>56</v>
      </c>
      <c r="G60" s="4" t="s">
        <v>57</v>
      </c>
      <c r="H60" s="4" t="s">
        <v>20</v>
      </c>
      <c r="I60" s="34"/>
    </row>
    <row r="61" spans="1:9" ht="27" x14ac:dyDescent="0.6">
      <c r="A61" s="10" t="s">
        <v>30</v>
      </c>
      <c r="B61" s="7" t="s">
        <v>19</v>
      </c>
      <c r="C61" s="8">
        <v>4758088</v>
      </c>
      <c r="D61" s="8">
        <v>76857</v>
      </c>
      <c r="E61" s="8">
        <v>48135</v>
      </c>
      <c r="F61" s="8">
        <v>65638</v>
      </c>
      <c r="G61" s="8">
        <v>22136</v>
      </c>
      <c r="H61" s="8">
        <v>135909</v>
      </c>
      <c r="I61" s="11">
        <v>4970854</v>
      </c>
    </row>
    <row r="62" spans="1:9" ht="54" x14ac:dyDescent="0.6">
      <c r="A62" s="35" t="s">
        <v>31</v>
      </c>
      <c r="B62" s="7" t="s">
        <v>32</v>
      </c>
      <c r="C62" s="8">
        <v>-105882</v>
      </c>
      <c r="D62" s="8">
        <v>5500</v>
      </c>
      <c r="E62" s="8">
        <v>-1954</v>
      </c>
      <c r="F62" s="8">
        <v>101442</v>
      </c>
      <c r="G62" s="9">
        <v>894</v>
      </c>
      <c r="H62" s="8">
        <v>100382</v>
      </c>
      <c r="I62" s="13" t="s">
        <v>15</v>
      </c>
    </row>
    <row r="63" spans="1:9" ht="54" x14ac:dyDescent="0.6">
      <c r="A63" s="36"/>
      <c r="B63" s="7" t="s">
        <v>33</v>
      </c>
      <c r="C63" s="8">
        <v>6958</v>
      </c>
      <c r="D63" s="9">
        <v>-778</v>
      </c>
      <c r="E63" s="9" t="s">
        <v>15</v>
      </c>
      <c r="F63" s="9" t="s">
        <v>15</v>
      </c>
      <c r="G63" s="9" t="s">
        <v>15</v>
      </c>
      <c r="H63" s="9" t="s">
        <v>15</v>
      </c>
      <c r="I63" s="11">
        <v>6180</v>
      </c>
    </row>
    <row r="64" spans="1:9" ht="40.5" x14ac:dyDescent="0.6">
      <c r="A64" s="36"/>
      <c r="B64" s="7" t="s">
        <v>34</v>
      </c>
      <c r="C64" s="8">
        <v>-5026</v>
      </c>
      <c r="D64" s="9">
        <v>922</v>
      </c>
      <c r="E64" s="9" t="s">
        <v>15</v>
      </c>
      <c r="F64" s="9" t="s">
        <v>15</v>
      </c>
      <c r="G64" s="8">
        <v>4211</v>
      </c>
      <c r="H64" s="8">
        <v>4211</v>
      </c>
      <c r="I64" s="13">
        <v>107</v>
      </c>
    </row>
    <row r="65" spans="1:9" x14ac:dyDescent="0.6">
      <c r="A65" s="37"/>
      <c r="B65" s="6" t="s">
        <v>35</v>
      </c>
      <c r="C65" s="8">
        <v>-103950</v>
      </c>
      <c r="D65" s="8">
        <v>5644</v>
      </c>
      <c r="E65" s="8">
        <v>-1954</v>
      </c>
      <c r="F65" s="8">
        <v>101442</v>
      </c>
      <c r="G65" s="8">
        <v>5105</v>
      </c>
      <c r="H65" s="8">
        <v>104593</v>
      </c>
      <c r="I65" s="11">
        <v>6287</v>
      </c>
    </row>
    <row r="66" spans="1:9" ht="27" x14ac:dyDescent="0.6">
      <c r="A66" s="35" t="s">
        <v>36</v>
      </c>
      <c r="B66" s="7" t="s">
        <v>37</v>
      </c>
      <c r="C66" s="9" t="s">
        <v>15</v>
      </c>
      <c r="D66" s="9" t="s">
        <v>15</v>
      </c>
      <c r="E66" s="8">
        <v>-4379</v>
      </c>
      <c r="F66" s="8">
        <v>-12925</v>
      </c>
      <c r="G66" s="8">
        <v>-2760</v>
      </c>
      <c r="H66" s="8">
        <v>-20064</v>
      </c>
      <c r="I66" s="11">
        <v>-20064</v>
      </c>
    </row>
    <row r="67" spans="1:9" ht="27" x14ac:dyDescent="0.6">
      <c r="A67" s="36"/>
      <c r="B67" s="7" t="s">
        <v>38</v>
      </c>
      <c r="C67" s="9" t="s">
        <v>15</v>
      </c>
      <c r="D67" s="8">
        <v>-9219</v>
      </c>
      <c r="E67" s="9" t="s">
        <v>15</v>
      </c>
      <c r="F67" s="9" t="s">
        <v>15</v>
      </c>
      <c r="G67" s="9" t="s">
        <v>15</v>
      </c>
      <c r="H67" s="9" t="s">
        <v>15</v>
      </c>
      <c r="I67" s="11">
        <v>-9219</v>
      </c>
    </row>
    <row r="68" spans="1:9" x14ac:dyDescent="0.6">
      <c r="A68" s="36"/>
      <c r="B68" s="7" t="s">
        <v>39</v>
      </c>
      <c r="C68" s="8">
        <v>-3233</v>
      </c>
      <c r="D68" s="9" t="s">
        <v>15</v>
      </c>
      <c r="E68" s="9" t="s">
        <v>15</v>
      </c>
      <c r="F68" s="9" t="s">
        <v>15</v>
      </c>
      <c r="G68" s="9" t="s">
        <v>15</v>
      </c>
      <c r="H68" s="9" t="s">
        <v>15</v>
      </c>
      <c r="I68" s="11">
        <v>-3233</v>
      </c>
    </row>
    <row r="69" spans="1:9" x14ac:dyDescent="0.6">
      <c r="A69" s="37"/>
      <c r="B69" s="6" t="s">
        <v>35</v>
      </c>
      <c r="C69" s="8">
        <v>-3233</v>
      </c>
      <c r="D69" s="8">
        <v>-9219</v>
      </c>
      <c r="E69" s="8">
        <v>-4379</v>
      </c>
      <c r="F69" s="8">
        <v>-12925</v>
      </c>
      <c r="G69" s="8">
        <v>-2760</v>
      </c>
      <c r="H69" s="8">
        <v>-20064</v>
      </c>
      <c r="I69" s="11">
        <v>-32516</v>
      </c>
    </row>
    <row r="70" spans="1:9" ht="40.5" x14ac:dyDescent="0.6">
      <c r="A70" s="10" t="s">
        <v>40</v>
      </c>
      <c r="B70" s="7" t="s">
        <v>41</v>
      </c>
      <c r="C70" s="8">
        <v>-3735</v>
      </c>
      <c r="D70" s="9">
        <v>-834</v>
      </c>
      <c r="E70" s="9" t="s">
        <v>15</v>
      </c>
      <c r="F70" s="9" t="s">
        <v>15</v>
      </c>
      <c r="G70" s="9" t="s">
        <v>15</v>
      </c>
      <c r="H70" s="9" t="s">
        <v>15</v>
      </c>
      <c r="I70" s="11">
        <v>-4569</v>
      </c>
    </row>
    <row r="71" spans="1:9" x14ac:dyDescent="0.6">
      <c r="A71" s="35" t="s">
        <v>42</v>
      </c>
      <c r="B71" s="7" t="s">
        <v>43</v>
      </c>
      <c r="C71" s="8">
        <v>1260720</v>
      </c>
      <c r="D71" s="8">
        <v>8089</v>
      </c>
      <c r="E71" s="8">
        <v>1178</v>
      </c>
      <c r="F71" s="8">
        <v>1323</v>
      </c>
      <c r="G71" s="9">
        <v>279</v>
      </c>
      <c r="H71" s="8">
        <v>2780</v>
      </c>
      <c r="I71" s="11">
        <v>1271589</v>
      </c>
    </row>
    <row r="72" spans="1:9" ht="27" x14ac:dyDescent="0.6">
      <c r="A72" s="36"/>
      <c r="B72" s="7" t="s">
        <v>44</v>
      </c>
      <c r="C72" s="8">
        <v>41282</v>
      </c>
      <c r="D72" s="8">
        <v>-2198</v>
      </c>
      <c r="E72" s="9" t="s">
        <v>15</v>
      </c>
      <c r="F72" s="9" t="s">
        <v>15</v>
      </c>
      <c r="G72" s="9" t="s">
        <v>15</v>
      </c>
      <c r="H72" s="9" t="s">
        <v>15</v>
      </c>
      <c r="I72" s="11">
        <v>39084</v>
      </c>
    </row>
    <row r="73" spans="1:9" x14ac:dyDescent="0.6">
      <c r="A73" s="37"/>
      <c r="B73" s="6" t="s">
        <v>35</v>
      </c>
      <c r="C73" s="8">
        <v>1302002</v>
      </c>
      <c r="D73" s="8">
        <v>5891</v>
      </c>
      <c r="E73" s="8">
        <v>1178</v>
      </c>
      <c r="F73" s="8">
        <v>1323</v>
      </c>
      <c r="G73" s="9">
        <v>279</v>
      </c>
      <c r="H73" s="8">
        <v>2780</v>
      </c>
      <c r="I73" s="11">
        <v>1310673</v>
      </c>
    </row>
    <row r="74" spans="1:9" ht="27" x14ac:dyDescent="0.6">
      <c r="A74" s="12" t="s">
        <v>45</v>
      </c>
      <c r="B74" s="7" t="s">
        <v>47</v>
      </c>
      <c r="C74" s="8">
        <v>540714</v>
      </c>
      <c r="D74" s="9" t="s">
        <v>15</v>
      </c>
      <c r="E74" s="9" t="s">
        <v>15</v>
      </c>
      <c r="F74" s="9" t="s">
        <v>15</v>
      </c>
      <c r="G74" s="9" t="s">
        <v>15</v>
      </c>
      <c r="H74" s="9" t="s">
        <v>15</v>
      </c>
      <c r="I74" s="11">
        <v>540714</v>
      </c>
    </row>
    <row r="75" spans="1:9" ht="40.5" x14ac:dyDescent="0.6">
      <c r="A75" s="14" t="s">
        <v>46</v>
      </c>
      <c r="B75" s="7" t="s">
        <v>48</v>
      </c>
      <c r="C75" s="8">
        <v>-19172</v>
      </c>
      <c r="D75" s="9" t="s">
        <v>15</v>
      </c>
      <c r="E75" s="9" t="s">
        <v>15</v>
      </c>
      <c r="F75" s="9" t="s">
        <v>15</v>
      </c>
      <c r="G75" s="9" t="s">
        <v>15</v>
      </c>
      <c r="H75" s="9" t="s">
        <v>15</v>
      </c>
      <c r="I75" s="11">
        <v>-19172</v>
      </c>
    </row>
    <row r="76" spans="1:9" ht="54" x14ac:dyDescent="0.6">
      <c r="A76" s="14"/>
      <c r="B76" s="7" t="s">
        <v>49</v>
      </c>
      <c r="C76" s="8">
        <v>-93228</v>
      </c>
      <c r="D76" s="9" t="s">
        <v>15</v>
      </c>
      <c r="E76" s="9" t="s">
        <v>15</v>
      </c>
      <c r="F76" s="9" t="s">
        <v>15</v>
      </c>
      <c r="G76" s="9" t="s">
        <v>15</v>
      </c>
      <c r="H76" s="9" t="s">
        <v>15</v>
      </c>
      <c r="I76" s="11">
        <v>-93228</v>
      </c>
    </row>
    <row r="77" spans="1:9" ht="54" x14ac:dyDescent="0.6">
      <c r="A77" s="14"/>
      <c r="B77" s="7" t="s">
        <v>50</v>
      </c>
      <c r="C77" s="8">
        <v>-864661</v>
      </c>
      <c r="D77" s="9" t="s">
        <v>15</v>
      </c>
      <c r="E77" s="9" t="s">
        <v>15</v>
      </c>
      <c r="F77" s="9" t="s">
        <v>15</v>
      </c>
      <c r="G77" s="9" t="s">
        <v>15</v>
      </c>
      <c r="H77" s="9" t="s">
        <v>15</v>
      </c>
      <c r="I77" s="11">
        <v>-864661</v>
      </c>
    </row>
    <row r="78" spans="1:9" x14ac:dyDescent="0.6">
      <c r="A78" s="15"/>
      <c r="B78" s="6" t="s">
        <v>35</v>
      </c>
      <c r="C78" s="8">
        <v>-436347</v>
      </c>
      <c r="D78" s="9" t="s">
        <v>15</v>
      </c>
      <c r="E78" s="9" t="s">
        <v>15</v>
      </c>
      <c r="F78" s="9" t="s">
        <v>15</v>
      </c>
      <c r="G78" s="9" t="s">
        <v>15</v>
      </c>
      <c r="H78" s="9" t="s">
        <v>15</v>
      </c>
      <c r="I78" s="11">
        <v>-436347</v>
      </c>
    </row>
    <row r="79" spans="1:9" ht="27" x14ac:dyDescent="0.6">
      <c r="A79" s="16" t="s">
        <v>52</v>
      </c>
      <c r="B79" s="17" t="s">
        <v>19</v>
      </c>
      <c r="C79" s="18">
        <v>5512825</v>
      </c>
      <c r="D79" s="18">
        <v>78339</v>
      </c>
      <c r="E79" s="18">
        <v>42980</v>
      </c>
      <c r="F79" s="18">
        <v>155478</v>
      </c>
      <c r="G79" s="18">
        <v>24760</v>
      </c>
      <c r="H79" s="18">
        <v>223218</v>
      </c>
      <c r="I79" s="20">
        <v>5814382</v>
      </c>
    </row>
  </sheetData>
  <mergeCells count="22">
    <mergeCell ref="A62:A65"/>
    <mergeCell ref="A66:A69"/>
    <mergeCell ref="A71:A73"/>
    <mergeCell ref="A57:I57"/>
    <mergeCell ref="A58:B60"/>
    <mergeCell ref="E58:H59"/>
    <mergeCell ref="I58:I60"/>
    <mergeCell ref="A36:A39"/>
    <mergeCell ref="A40:A43"/>
    <mergeCell ref="A45:A47"/>
    <mergeCell ref="A31:I31"/>
    <mergeCell ref="A32:B34"/>
    <mergeCell ref="E32:H33"/>
    <mergeCell ref="I32:I34"/>
    <mergeCell ref="A9:A12"/>
    <mergeCell ref="A13:A16"/>
    <mergeCell ref="A18:A20"/>
    <mergeCell ref="A26:B26"/>
    <mergeCell ref="A4:I4"/>
    <mergeCell ref="A5:B7"/>
    <mergeCell ref="E5:H6"/>
    <mergeCell ref="I5:I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2026-06-03T14:05:48Z</dcterms:modified>
</cp:coreProperties>
</file>