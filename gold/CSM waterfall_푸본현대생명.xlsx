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DA91FA03-86CE-4D4E-BC75-31656496ABEC}" xr6:coauthVersionLast="47" xr6:coauthVersionMax="47" xr10:uidLastSave="{00000000-0000-0000-0000-000000000000}"/>
  <bookViews>
    <workbookView xWindow="-83" yWindow="0" windowWidth="10965" windowHeight="12863" xr2:uid="{3CD259B9-5A78-42E0-B669-107C3DC53255}"/>
  </bookViews>
  <sheets>
    <sheet name="Sheet2" sheetId="2" r:id="rId1"/>
    <sheet name="부문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2" l="1"/>
  <c r="J5" i="2" s="1"/>
  <c r="J6" i="2"/>
  <c r="J4" i="2"/>
  <c r="J3" i="2"/>
  <c r="J2" i="2"/>
  <c r="I50" i="2"/>
  <c r="I2" i="2"/>
  <c r="I3" i="2"/>
  <c r="I4" i="2"/>
  <c r="I5" i="2" s="1"/>
  <c r="I6" i="2"/>
  <c r="I7" i="2"/>
  <c r="H7" i="2"/>
  <c r="H6" i="2"/>
  <c r="H4" i="2"/>
  <c r="H3" i="2"/>
  <c r="H2" i="2"/>
  <c r="H5" i="2" l="1"/>
</calcChain>
</file>

<file path=xl/sharedStrings.xml><?xml version="1.0" encoding="utf-8"?>
<sst xmlns="http://schemas.openxmlformats.org/spreadsheetml/2006/main" count="482" uniqueCount="67">
  <si>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</si>
  <si>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</si>
  <si>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</si>
  <si>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</si>
  <si>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</si>
  <si>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</si>
  <si>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</si>
  <si>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2025.4Q</t>
    <phoneticPr fontId="2" type="noConversion"/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</si>
  <si>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</si>
  <si>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</si>
  <si>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</si>
  <si>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</si>
  <si>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</si>
  <si>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</si>
  <si>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</si>
  <si>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생명보험</t>
    <phoneticPr fontId="2" type="noConversion"/>
  </si>
  <si>
    <t>푸본현대생명</t>
    <phoneticPr fontId="2" type="noConversion"/>
  </si>
  <si>
    <t>(4) 당기말와 전기말 중 배당여부에 따른 보험계약측정요소별 변동내역은 다음과 같습니다(단위 : 백만원).</t>
  </si>
  <si>
    <t>1) 당기말</t>
  </si>
  <si>
    <t>① 유배당보험</t>
  </si>
  <si>
    <t>구    분</t>
  </si>
  <si>
    <t>미래현금흐름의</t>
  </si>
  <si>
    <t>현재가치 추정치</t>
  </si>
  <si>
    <t>비금융위험에 대한</t>
  </si>
  <si>
    <t>위험조정</t>
  </si>
  <si>
    <t>합   계</t>
  </si>
  <si>
    <t>잔여보장요소</t>
  </si>
  <si>
    <t>발생사고요소</t>
  </si>
  <si>
    <t>공정가치법</t>
  </si>
  <si>
    <t>적용 대상 계약</t>
  </si>
  <si>
    <t>그 외 계약</t>
  </si>
  <si>
    <t>기초금액</t>
  </si>
  <si>
    <t>   보험계약자산</t>
  </si>
  <si>
    <t>-</t>
  </si>
  <si>
    <t>   보험계약부채</t>
  </si>
  <si>
    <t>기초 보험계약부채(자산)</t>
  </si>
  <si>
    <t>미래서비스와 관련된 변동</t>
  </si>
  <si>
    <t>   해지율 가정 변경</t>
  </si>
  <si>
    <t>   위험률 가정 변경</t>
  </si>
  <si>
    <t>   사업비율 가정 변경</t>
  </si>
  <si>
    <t>   기타 가정 변경</t>
  </si>
  <si>
    <t>   물량차이 및 투자요소예실차 등</t>
  </si>
  <si>
    <t>   손실요소</t>
  </si>
  <si>
    <t>   신계약 인식</t>
  </si>
  <si>
    <t>소   계</t>
  </si>
  <si>
    <t>현행서비스와 관련된 변동</t>
  </si>
  <si>
    <t>   위험조정 변동</t>
  </si>
  <si>
    <t>   보험계약마진 상각</t>
  </si>
  <si>
    <t>   당기손익 인식 대상 경험조정</t>
  </si>
  <si>
    <t>과거서비스와 관련된 변동</t>
  </si>
  <si>
    <t>   발생사고부채 변동</t>
  </si>
  <si>
    <t>보험금융손익</t>
  </si>
  <si>
    <t>   당기손익 인식분</t>
  </si>
  <si>
    <t>   기타포괄손익 인식분</t>
  </si>
  <si>
    <t>현금흐름</t>
  </si>
  <si>
    <t>   수취보험료</t>
  </si>
  <si>
    <t>   보험취득현금흐름</t>
  </si>
  <si>
    <t>   투자요소를 포함한 지급보험금</t>
  </si>
  <si>
    <t>  및 기타보험서비스비용</t>
  </si>
  <si>
    <t>   보험계약대출 현금흐름</t>
  </si>
  <si>
    <t>기말금액</t>
  </si>
  <si>
    <t>기말 보험계약부채(자산)</t>
  </si>
  <si>
    <t>② 무배당보험</t>
  </si>
  <si>
    <t>③ 변액보험</t>
  </si>
  <si>
    <t>유배당</t>
    <phoneticPr fontId="2" type="noConversion"/>
  </si>
  <si>
    <t>무배당</t>
    <phoneticPr fontId="2" type="noConversion"/>
  </si>
  <si>
    <t>변액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</si>
</sst>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/>
      <top style="thin">
        <color rgb="FF000000"/>
      </top>
      <bottom/>
      <diagonal/>
    </border>
    <border>
      <left/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23" xfId="0" applyFont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3" fontId="1" fillId="0" borderId="9" xfId="0" applyNumberFormat="1" applyFont="1" applyBorder="1" applyAlignment="1">
      <alignment horizontal="righ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3" fontId="1" fillId="0" borderId="22" xfId="0" applyNumberFormat="1" applyFont="1" applyBorder="1" applyAlignment="1">
      <alignment horizontal="right" vertical="center" wrapText="1"/>
    </xf>
    <xf numFmtId="3" fontId="1" fillId="0" borderId="21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L50"/>
  <sheetViews>
    <sheetView tabSelected="1" workbookViewId="0"/>
  </sheetViews>
  <sheetFormatPr defaultRowHeight="16.899999999999999" x14ac:dyDescent="0.6"/>
  <cols>
    <col min="8" max="8" width="15.1875" bestFit="1" customWidth="1"/>
  </cols>
  <sheetData>
    <row r="1" spans="1:12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64</v>
      </c>
      <c r="I1" s="2" t="s">
        <v>65</v>
      </c>
      <c r="J1" s="2" t="s">
        <v>66</v>
      </c>
    </row>
    <row r="2" spans="1:12" x14ac:dyDescent="0.6">
      <c r="A2" s="2"/>
      <c r="B2" s="2" t="s">
        <v>16</v>
      </c>
      <c r="C2" s="2"/>
      <c r="D2" s="2" t="s">
        <v>15</v>
      </c>
      <c r="E2" s="2">
        <v>1</v>
      </c>
      <c r="F2" s="2" t="s">
        <v>8</v>
      </c>
      <c r="G2" s="2" t="s">
        <v>7</v>
      </c>
      <c r="H2" s="1">
        <f>SUM(부문별!F14:G14)</f>
        <v>22771</v>
      </c>
      <c r="I2" s="1">
        <f>SUM(부문별!F55:G55)</f>
        <v>117559</v>
      </c>
      <c r="J2" s="1">
        <f>SUM(부문별!F97:G97)</f>
        <v>2019</v>
      </c>
      <c r="L2" s="1"/>
    </row>
    <row r="3" spans="1:12" x14ac:dyDescent="0.6">
      <c r="A3" s="2"/>
      <c r="B3" s="2" t="s">
        <v>16</v>
      </c>
      <c r="C3" s="2"/>
      <c r="D3" s="2" t="s">
        <v>15</v>
      </c>
      <c r="E3" s="2">
        <v>2</v>
      </c>
      <c r="F3" s="2" t="s">
        <v>9</v>
      </c>
      <c r="G3" s="2" t="s">
        <v>7</v>
      </c>
      <c r="H3" s="1">
        <f>SUM(부문별!F22:G22)</f>
        <v>615</v>
      </c>
      <c r="I3" s="1">
        <f>SUM(부문별!F63:G63)</f>
        <v>99063</v>
      </c>
      <c r="J3" s="1">
        <f>SUM(부문별!F105:G105)</f>
        <v>0</v>
      </c>
      <c r="L3" s="1"/>
    </row>
    <row r="4" spans="1:12" x14ac:dyDescent="0.6">
      <c r="A4" s="2"/>
      <c r="B4" s="2" t="s">
        <v>16</v>
      </c>
      <c r="C4" s="2"/>
      <c r="D4" s="2" t="s">
        <v>15</v>
      </c>
      <c r="E4">
        <v>3</v>
      </c>
      <c r="F4" s="2" t="s">
        <v>10</v>
      </c>
      <c r="G4" t="s">
        <v>7</v>
      </c>
      <c r="H4" s="1">
        <f>SUM(부문별!F32:G33)</f>
        <v>771</v>
      </c>
      <c r="I4" s="1">
        <f>SUM(부문별!F73:G74)</f>
        <v>6605</v>
      </c>
      <c r="J4" s="1">
        <f>SUM(부문별!F115:G116)</f>
        <v>172</v>
      </c>
      <c r="L4" s="1"/>
    </row>
    <row r="5" spans="1:12" x14ac:dyDescent="0.6">
      <c r="A5" s="2"/>
      <c r="B5" s="2" t="s">
        <v>16</v>
      </c>
      <c r="C5" s="2"/>
      <c r="D5" s="2" t="s">
        <v>15</v>
      </c>
      <c r="E5" s="2">
        <v>4</v>
      </c>
      <c r="F5" s="2" t="s">
        <v>14</v>
      </c>
      <c r="G5" t="s">
        <v>7</v>
      </c>
      <c r="H5" s="1">
        <f t="shared" ref="H5" si="0">H7-H6-H4-H3-H2</f>
        <v>-1887</v>
      </c>
      <c r="I5" s="1">
        <f t="shared" ref="I5" si="1">I7-I6-I4-I3-I2</f>
        <v>-38901</v>
      </c>
      <c r="J5" s="1">
        <f>J7-J6-J4-J3-J2</f>
        <v>512</v>
      </c>
      <c r="L5" s="1"/>
    </row>
    <row r="6" spans="1:12" x14ac:dyDescent="0.6">
      <c r="A6" s="2"/>
      <c r="B6" s="2" t="s">
        <v>16</v>
      </c>
      <c r="C6" s="2"/>
      <c r="D6" s="2" t="s">
        <v>15</v>
      </c>
      <c r="E6" s="2">
        <v>5</v>
      </c>
      <c r="F6" s="2" t="s">
        <v>11</v>
      </c>
      <c r="G6" t="s">
        <v>7</v>
      </c>
      <c r="H6" s="1">
        <f>SUM(부문별!F26:G26)</f>
        <v>-1063</v>
      </c>
      <c r="I6" s="1">
        <f>SUM(부문별!F67:G67)</f>
        <v>-17392</v>
      </c>
      <c r="J6" s="1">
        <f>SUM(부문별!F109:G109)</f>
        <v>-189</v>
      </c>
      <c r="L6" s="1"/>
    </row>
    <row r="7" spans="1:12" x14ac:dyDescent="0.6">
      <c r="A7" s="2"/>
      <c r="B7" s="2" t="s">
        <v>16</v>
      </c>
      <c r="C7" s="2"/>
      <c r="D7" s="2" t="s">
        <v>15</v>
      </c>
      <c r="E7" s="2">
        <v>6</v>
      </c>
      <c r="F7" s="2" t="s">
        <v>12</v>
      </c>
      <c r="G7" t="s">
        <v>7</v>
      </c>
      <c r="H7" s="1">
        <f>SUM(부문별!F45:G45)</f>
        <v>21207</v>
      </c>
      <c r="I7" s="1">
        <f>SUM(부문별!F86:G86)</f>
        <v>166934</v>
      </c>
      <c r="J7" s="1">
        <f>SUM(부문별!F128:G128)</f>
        <v>2514</v>
      </c>
      <c r="L7" s="1"/>
    </row>
    <row r="8" spans="1:12" x14ac:dyDescent="0.6">
      <c r="A8" s="2"/>
      <c r="B8" s="2"/>
      <c r="C8" s="2"/>
      <c r="D8" s="2"/>
      <c r="H8" s="1"/>
    </row>
    <row r="9" spans="1:12" x14ac:dyDescent="0.6">
      <c r="A9" s="2"/>
      <c r="B9" s="2"/>
      <c r="C9" s="2"/>
      <c r="D9" s="2"/>
      <c r="H9" s="1"/>
    </row>
    <row r="10" spans="1:12" x14ac:dyDescent="0.6">
      <c r="A10" s="2"/>
      <c r="B10" s="2"/>
      <c r="C10" s="2"/>
      <c r="D10" s="2"/>
      <c r="H10" s="1"/>
    </row>
    <row r="11" spans="1:12" x14ac:dyDescent="0.6">
      <c r="A11" s="2"/>
      <c r="B11" s="2"/>
      <c r="C11" s="2"/>
      <c r="D11" s="2"/>
      <c r="H11" s="1"/>
    </row>
    <row r="12" spans="1:12" x14ac:dyDescent="0.6">
      <c r="A12" s="2"/>
      <c r="B12" s="2"/>
      <c r="C12" s="2"/>
      <c r="D12" s="2"/>
      <c r="H12" s="1"/>
    </row>
    <row r="13" spans="1:12" x14ac:dyDescent="0.6">
      <c r="A13" s="2"/>
      <c r="B13" s="2"/>
      <c r="C13" s="2"/>
      <c r="D13" s="2"/>
      <c r="H13" s="1"/>
    </row>
    <row r="14" spans="1:12" x14ac:dyDescent="0.6">
      <c r="A14" s="2"/>
      <c r="B14" s="2"/>
      <c r="C14" s="2"/>
      <c r="D14" s="2"/>
      <c r="H14" s="1"/>
    </row>
    <row r="15" spans="1:12" x14ac:dyDescent="0.6">
      <c r="A15" s="2"/>
      <c r="B15" s="2"/>
      <c r="C15" s="2"/>
      <c r="D15" s="2"/>
      <c r="H15" s="1"/>
    </row>
    <row r="16" spans="1:12" x14ac:dyDescent="0.6">
      <c r="A16" s="2"/>
      <c r="B16" s="2"/>
      <c r="C16" s="2"/>
      <c r="D16" s="2"/>
      <c r="H16" s="1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3" spans="1:8" x14ac:dyDescent="0.6">
      <c r="H23" s="1"/>
    </row>
    <row r="24" spans="1:8" x14ac:dyDescent="0.6">
      <c r="H24" s="1"/>
    </row>
    <row r="25" spans="1:8" x14ac:dyDescent="0.6">
      <c r="H25" s="1"/>
    </row>
    <row r="26" spans="1:8" x14ac:dyDescent="0.6">
      <c r="H26" s="1"/>
    </row>
    <row r="27" spans="1:8" x14ac:dyDescent="0.6">
      <c r="H27" s="1"/>
    </row>
    <row r="28" spans="1:8" x14ac:dyDescent="0.6">
      <c r="H28" s="1"/>
    </row>
    <row r="38" spans="8:8" x14ac:dyDescent="0.6">
      <c r="H38" s="1"/>
    </row>
    <row r="39" spans="8:8" x14ac:dyDescent="0.6">
      <c r="H39" s="1"/>
    </row>
    <row r="40" spans="8:8" x14ac:dyDescent="0.6">
      <c r="H40" s="1"/>
    </row>
    <row r="41" spans="8:8" x14ac:dyDescent="0.6">
      <c r="H41" s="1"/>
    </row>
    <row r="42" spans="8:8" x14ac:dyDescent="0.6">
      <c r="H42" s="1"/>
    </row>
    <row r="50" spans="9:9" x14ac:dyDescent="0.6">
      <c r="I50" s="1">
        <f>SUM(부문별!F129:G129)</f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H167"/>
  <sheetViews>
    <sheetView zoomScale="70" workbookViewId="0">
      <pane xSplit="1" ySplit="11" topLeftCell="B57" activePane="bottomRight" state="frozen"/>
      <selection pane="topRight" activeCell="B1" sqref="B1"/>
      <selection pane="bottomLeft" activeCell="A12" sqref="A12"/>
      <selection pane="bottomRight" activeCell="G63" sqref="G63"/>
    </sheetView>
  </sheetViews>
  <sheetFormatPr defaultRowHeight="16.899999999999999" x14ac:dyDescent="0.6"/>
  <cols>
    <col min="6" max="7" width="9.0625" bestFit="1" customWidth="1"/>
    <col min="8" max="8" width="9.8125" bestFit="1" customWidth="1"/>
  </cols>
  <sheetData>
    <row r="1" spans="1:8" ht="67.5" customHeight="1" x14ac:dyDescent="0.6">
      <c r="A1" s="16" t="s">
        <v>17</v>
      </c>
    </row>
    <row r="2" spans="1:8" ht="54" customHeight="1" x14ac:dyDescent="0.6">
      <c r="A2" s="15"/>
    </row>
    <row r="3" spans="1:8" x14ac:dyDescent="0.6">
      <c r="A3" s="16" t="s">
        <v>18</v>
      </c>
    </row>
    <row r="4" spans="1:8" x14ac:dyDescent="0.6">
      <c r="A4" s="15"/>
    </row>
    <row r="5" spans="1:8" x14ac:dyDescent="0.6">
      <c r="A5" s="16" t="s">
        <v>19</v>
      </c>
    </row>
    <row r="6" spans="1:8" x14ac:dyDescent="0.6">
      <c r="A6" s="17"/>
    </row>
    <row r="7" spans="1:8" x14ac:dyDescent="0.6">
      <c r="A7" s="24" t="s">
        <v>20</v>
      </c>
      <c r="B7" s="27" t="s">
        <v>21</v>
      </c>
      <c r="C7" s="28"/>
      <c r="D7" s="31" t="s">
        <v>23</v>
      </c>
      <c r="E7" s="32"/>
      <c r="F7" s="31" t="s">
        <v>13</v>
      </c>
      <c r="G7" s="32"/>
      <c r="H7" s="35" t="s">
        <v>25</v>
      </c>
    </row>
    <row r="8" spans="1:8" x14ac:dyDescent="0.6">
      <c r="A8" s="25"/>
      <c r="B8" s="29" t="s">
        <v>22</v>
      </c>
      <c r="C8" s="30"/>
      <c r="D8" s="33" t="s">
        <v>24</v>
      </c>
      <c r="E8" s="34"/>
      <c r="F8" s="33"/>
      <c r="G8" s="34"/>
      <c r="H8" s="36"/>
    </row>
    <row r="9" spans="1:8" ht="27" x14ac:dyDescent="0.6">
      <c r="A9" s="25"/>
      <c r="B9" s="13" t="s">
        <v>26</v>
      </c>
      <c r="C9" s="13" t="s">
        <v>27</v>
      </c>
      <c r="D9" s="13" t="s">
        <v>26</v>
      </c>
      <c r="E9" s="13" t="s">
        <v>27</v>
      </c>
      <c r="F9" s="10" t="s">
        <v>28</v>
      </c>
      <c r="G9" s="13" t="s">
        <v>30</v>
      </c>
      <c r="H9" s="36"/>
    </row>
    <row r="10" spans="1:8" ht="27" x14ac:dyDescent="0.6">
      <c r="A10" s="26"/>
      <c r="B10" s="14"/>
      <c r="C10" s="14"/>
      <c r="D10" s="14"/>
      <c r="E10" s="14"/>
      <c r="F10" s="11" t="s">
        <v>29</v>
      </c>
      <c r="G10" s="14"/>
      <c r="H10" s="37"/>
    </row>
    <row r="11" spans="1:8" ht="27" customHeight="1" x14ac:dyDescent="0.6">
      <c r="A11" s="12" t="s">
        <v>31</v>
      </c>
      <c r="B11" s="38"/>
      <c r="C11" s="38"/>
      <c r="D11" s="38"/>
      <c r="E11" s="38"/>
      <c r="F11" s="38"/>
      <c r="G11" s="38"/>
      <c r="H11" s="39"/>
    </row>
    <row r="12" spans="1:8" ht="27" customHeight="1" x14ac:dyDescent="0.6">
      <c r="A12" s="18" t="s">
        <v>32</v>
      </c>
      <c r="B12" s="3" t="s">
        <v>33</v>
      </c>
      <c r="C12" s="3" t="s">
        <v>33</v>
      </c>
      <c r="D12" s="3" t="s">
        <v>33</v>
      </c>
      <c r="E12" s="3" t="s">
        <v>33</v>
      </c>
      <c r="F12" s="3" t="s">
        <v>33</v>
      </c>
      <c r="G12" s="3" t="s">
        <v>33</v>
      </c>
      <c r="H12" s="5" t="s">
        <v>33</v>
      </c>
    </row>
    <row r="13" spans="1:8" ht="27" customHeight="1" x14ac:dyDescent="0.6">
      <c r="A13" s="18" t="s">
        <v>34</v>
      </c>
      <c r="B13" s="4">
        <v>1385818</v>
      </c>
      <c r="C13" s="4">
        <v>44061</v>
      </c>
      <c r="D13" s="4">
        <v>9913</v>
      </c>
      <c r="E13" s="3">
        <v>26</v>
      </c>
      <c r="F13" s="4">
        <v>15517</v>
      </c>
      <c r="G13" s="4">
        <v>7254</v>
      </c>
      <c r="H13" s="6">
        <v>1462589</v>
      </c>
    </row>
    <row r="14" spans="1:8" ht="40.5" x14ac:dyDescent="0.6">
      <c r="A14" s="18" t="s">
        <v>35</v>
      </c>
      <c r="B14" s="4">
        <v>1385818</v>
      </c>
      <c r="C14" s="4">
        <v>44061</v>
      </c>
      <c r="D14" s="4">
        <v>9913</v>
      </c>
      <c r="E14" s="3">
        <v>26</v>
      </c>
      <c r="F14" s="4">
        <v>15517</v>
      </c>
      <c r="G14" s="4">
        <v>7254</v>
      </c>
      <c r="H14" s="6">
        <v>1462589</v>
      </c>
    </row>
    <row r="15" spans="1:8" ht="54" customHeight="1" x14ac:dyDescent="0.6">
      <c r="A15" s="12" t="s">
        <v>36</v>
      </c>
      <c r="B15" s="38"/>
      <c r="C15" s="38"/>
      <c r="D15" s="38"/>
      <c r="E15" s="38"/>
      <c r="F15" s="38"/>
      <c r="G15" s="38"/>
      <c r="H15" s="39"/>
    </row>
    <row r="16" spans="1:8" ht="27" x14ac:dyDescent="0.6">
      <c r="A16" s="18" t="s">
        <v>37</v>
      </c>
      <c r="B16" s="3">
        <v>102</v>
      </c>
      <c r="C16" s="3" t="s">
        <v>33</v>
      </c>
      <c r="D16" s="3" t="s">
        <v>33</v>
      </c>
      <c r="E16" s="3" t="s">
        <v>33</v>
      </c>
      <c r="F16" s="3">
        <v>79</v>
      </c>
      <c r="G16" s="3">
        <v>-181</v>
      </c>
      <c r="H16" s="5" t="s">
        <v>33</v>
      </c>
    </row>
    <row r="17" spans="1:8" ht="27" customHeight="1" x14ac:dyDescent="0.6">
      <c r="A17" s="18" t="s">
        <v>38</v>
      </c>
      <c r="B17" s="4">
        <v>7953</v>
      </c>
      <c r="C17" s="3" t="s">
        <v>33</v>
      </c>
      <c r="D17" s="3" t="s">
        <v>33</v>
      </c>
      <c r="E17" s="3" t="s">
        <v>33</v>
      </c>
      <c r="F17" s="4">
        <v>-7832</v>
      </c>
      <c r="G17" s="3">
        <v>-121</v>
      </c>
      <c r="H17" s="5" t="s">
        <v>33</v>
      </c>
    </row>
    <row r="18" spans="1:8" ht="54" customHeight="1" x14ac:dyDescent="0.6">
      <c r="A18" s="18" t="s">
        <v>39</v>
      </c>
      <c r="B18" s="4">
        <v>-4222</v>
      </c>
      <c r="C18" s="3" t="s">
        <v>33</v>
      </c>
      <c r="D18" s="3" t="s">
        <v>33</v>
      </c>
      <c r="E18" s="3" t="s">
        <v>33</v>
      </c>
      <c r="F18" s="4">
        <v>3407</v>
      </c>
      <c r="G18" s="3">
        <v>815</v>
      </c>
      <c r="H18" s="5" t="s">
        <v>33</v>
      </c>
    </row>
    <row r="19" spans="1:8" ht="27" x14ac:dyDescent="0.6">
      <c r="A19" s="18" t="s">
        <v>40</v>
      </c>
      <c r="B19" s="3">
        <v>-90</v>
      </c>
      <c r="C19" s="3" t="s">
        <v>33</v>
      </c>
      <c r="D19" s="3" t="s">
        <v>33</v>
      </c>
      <c r="E19" s="3" t="s">
        <v>33</v>
      </c>
      <c r="F19" s="3">
        <v>89</v>
      </c>
      <c r="G19" s="3">
        <v>1</v>
      </c>
      <c r="H19" s="5" t="s">
        <v>33</v>
      </c>
    </row>
    <row r="20" spans="1:8" ht="54" x14ac:dyDescent="0.6">
      <c r="A20" s="18" t="s">
        <v>41</v>
      </c>
      <c r="B20" s="4">
        <v>-68327</v>
      </c>
      <c r="C20" s="4">
        <v>68602</v>
      </c>
      <c r="D20" s="3">
        <v>-318</v>
      </c>
      <c r="E20" s="3" t="s">
        <v>33</v>
      </c>
      <c r="F20" s="3">
        <v>-488</v>
      </c>
      <c r="G20" s="3">
        <v>531</v>
      </c>
      <c r="H20" s="5" t="s">
        <v>33</v>
      </c>
    </row>
    <row r="21" spans="1:8" ht="27" x14ac:dyDescent="0.6">
      <c r="A21" s="18" t="s">
        <v>42</v>
      </c>
      <c r="B21" s="3" t="s">
        <v>33</v>
      </c>
      <c r="C21" s="3" t="s">
        <v>33</v>
      </c>
      <c r="D21" s="3" t="s">
        <v>33</v>
      </c>
      <c r="E21" s="3" t="s">
        <v>33</v>
      </c>
      <c r="F21" s="4">
        <v>2194</v>
      </c>
      <c r="G21" s="3">
        <v>-381</v>
      </c>
      <c r="H21" s="6">
        <v>1813</v>
      </c>
    </row>
    <row r="22" spans="1:8" ht="54" customHeight="1" x14ac:dyDescent="0.6">
      <c r="A22" s="18" t="s">
        <v>43</v>
      </c>
      <c r="B22" s="3">
        <v>-176</v>
      </c>
      <c r="C22" s="3" t="s">
        <v>33</v>
      </c>
      <c r="D22" s="3">
        <v>131</v>
      </c>
      <c r="E22" s="3" t="s">
        <v>33</v>
      </c>
      <c r="F22" s="3" t="s">
        <v>33</v>
      </c>
      <c r="G22" s="3">
        <v>615</v>
      </c>
      <c r="H22" s="5">
        <v>570</v>
      </c>
    </row>
    <row r="23" spans="1:8" x14ac:dyDescent="0.6">
      <c r="A23" s="19" t="s">
        <v>44</v>
      </c>
      <c r="B23" s="4">
        <v>-64760</v>
      </c>
      <c r="C23" s="4">
        <v>68602</v>
      </c>
      <c r="D23" s="3">
        <v>-187</v>
      </c>
      <c r="E23" s="3" t="s">
        <v>33</v>
      </c>
      <c r="F23" s="4">
        <v>-2551</v>
      </c>
      <c r="G23" s="4">
        <v>1279</v>
      </c>
      <c r="H23" s="6">
        <v>2383</v>
      </c>
    </row>
    <row r="24" spans="1:8" x14ac:dyDescent="0.6">
      <c r="A24" s="12" t="s">
        <v>45</v>
      </c>
      <c r="B24" s="38"/>
      <c r="C24" s="38"/>
      <c r="D24" s="38"/>
      <c r="E24" s="38"/>
      <c r="F24" s="38"/>
      <c r="G24" s="38"/>
      <c r="H24" s="39"/>
    </row>
    <row r="25" spans="1:8" ht="27" x14ac:dyDescent="0.6">
      <c r="A25" s="20" t="s">
        <v>46</v>
      </c>
      <c r="B25" s="3" t="s">
        <v>33</v>
      </c>
      <c r="C25" s="3" t="s">
        <v>33</v>
      </c>
      <c r="D25" s="3">
        <v>-21</v>
      </c>
      <c r="E25" s="3" t="s">
        <v>33</v>
      </c>
      <c r="F25" s="3" t="s">
        <v>33</v>
      </c>
      <c r="G25" s="3" t="s">
        <v>33</v>
      </c>
      <c r="H25" s="5">
        <v>-21</v>
      </c>
    </row>
    <row r="26" spans="1:8" ht="40.5" x14ac:dyDescent="0.6">
      <c r="A26" s="20" t="s">
        <v>47</v>
      </c>
      <c r="B26" s="3" t="s">
        <v>33</v>
      </c>
      <c r="C26" s="3" t="s">
        <v>33</v>
      </c>
      <c r="D26" s="3" t="s">
        <v>33</v>
      </c>
      <c r="E26" s="3" t="s">
        <v>33</v>
      </c>
      <c r="F26" s="3">
        <v>-974</v>
      </c>
      <c r="G26" s="3">
        <v>-89</v>
      </c>
      <c r="H26" s="6">
        <v>-1063</v>
      </c>
    </row>
    <row r="27" spans="1:8" ht="54" customHeight="1" x14ac:dyDescent="0.6">
      <c r="A27" s="20" t="s">
        <v>48</v>
      </c>
      <c r="B27" s="4">
        <v>-19426</v>
      </c>
      <c r="C27" s="4">
        <v>18152</v>
      </c>
      <c r="D27" s="3" t="s">
        <v>33</v>
      </c>
      <c r="E27" s="3" t="s">
        <v>33</v>
      </c>
      <c r="F27" s="3" t="s">
        <v>33</v>
      </c>
      <c r="G27" s="3" t="s">
        <v>33</v>
      </c>
      <c r="H27" s="6">
        <v>-1274</v>
      </c>
    </row>
    <row r="28" spans="1:8" ht="54" customHeight="1" x14ac:dyDescent="0.6">
      <c r="A28" s="19" t="s">
        <v>44</v>
      </c>
      <c r="B28" s="4">
        <v>-19426</v>
      </c>
      <c r="C28" s="4">
        <v>18152</v>
      </c>
      <c r="D28" s="3">
        <v>-21</v>
      </c>
      <c r="E28" s="3" t="s">
        <v>33</v>
      </c>
      <c r="F28" s="3">
        <v>-974</v>
      </c>
      <c r="G28" s="3">
        <v>-89</v>
      </c>
      <c r="H28" s="6">
        <v>-2358</v>
      </c>
    </row>
    <row r="29" spans="1:8" x14ac:dyDescent="0.6">
      <c r="A29" s="12" t="s">
        <v>49</v>
      </c>
      <c r="B29" s="38"/>
      <c r="C29" s="38"/>
      <c r="D29" s="38"/>
      <c r="E29" s="38"/>
      <c r="F29" s="38"/>
      <c r="G29" s="38"/>
      <c r="H29" s="39"/>
    </row>
    <row r="30" spans="1:8" ht="40.5" x14ac:dyDescent="0.6">
      <c r="A30" s="20" t="s">
        <v>50</v>
      </c>
      <c r="B30" s="3" t="s">
        <v>33</v>
      </c>
      <c r="C30" s="3">
        <v>453</v>
      </c>
      <c r="D30" s="3" t="s">
        <v>33</v>
      </c>
      <c r="E30" s="3">
        <v>4</v>
      </c>
      <c r="F30" s="3" t="s">
        <v>33</v>
      </c>
      <c r="G30" s="3" t="s">
        <v>33</v>
      </c>
      <c r="H30" s="5">
        <v>457</v>
      </c>
    </row>
    <row r="31" spans="1:8" x14ac:dyDescent="0.6">
      <c r="A31" s="12" t="s">
        <v>51</v>
      </c>
      <c r="B31" s="38"/>
      <c r="C31" s="38"/>
      <c r="D31" s="38"/>
      <c r="E31" s="38"/>
      <c r="F31" s="38"/>
      <c r="G31" s="38"/>
      <c r="H31" s="39"/>
    </row>
    <row r="32" spans="1:8" ht="27" x14ac:dyDescent="0.6">
      <c r="A32" s="20" t="s">
        <v>52</v>
      </c>
      <c r="B32" s="4">
        <v>45125</v>
      </c>
      <c r="C32" s="4">
        <v>1861</v>
      </c>
      <c r="D32" s="3" t="s">
        <v>33</v>
      </c>
      <c r="E32" s="3" t="s">
        <v>33</v>
      </c>
      <c r="F32" s="3">
        <v>459</v>
      </c>
      <c r="G32" s="3">
        <v>312</v>
      </c>
      <c r="H32" s="6">
        <v>47757</v>
      </c>
    </row>
    <row r="33" spans="1:8" ht="40.5" x14ac:dyDescent="0.6">
      <c r="A33" s="20" t="s">
        <v>53</v>
      </c>
      <c r="B33" s="4">
        <v>-63924</v>
      </c>
      <c r="C33" s="3" t="s">
        <v>33</v>
      </c>
      <c r="D33" s="3" t="s">
        <v>33</v>
      </c>
      <c r="E33" s="3" t="s">
        <v>33</v>
      </c>
      <c r="F33" s="3" t="s">
        <v>33</v>
      </c>
      <c r="G33" s="3" t="s">
        <v>33</v>
      </c>
      <c r="H33" s="6">
        <v>-63924</v>
      </c>
    </row>
    <row r="34" spans="1:8" x14ac:dyDescent="0.6">
      <c r="A34" s="19" t="s">
        <v>44</v>
      </c>
      <c r="B34" s="4">
        <v>-18799</v>
      </c>
      <c r="C34" s="4">
        <v>1861</v>
      </c>
      <c r="D34" s="3" t="s">
        <v>33</v>
      </c>
      <c r="E34" s="3" t="s">
        <v>33</v>
      </c>
      <c r="F34" s="3">
        <v>459</v>
      </c>
      <c r="G34" s="3">
        <v>312</v>
      </c>
      <c r="H34" s="6">
        <v>-16167</v>
      </c>
    </row>
    <row r="35" spans="1:8" x14ac:dyDescent="0.6">
      <c r="A35" s="12" t="s">
        <v>54</v>
      </c>
      <c r="B35" s="38"/>
      <c r="C35" s="38"/>
      <c r="D35" s="38"/>
      <c r="E35" s="38"/>
      <c r="F35" s="38"/>
      <c r="G35" s="38"/>
      <c r="H35" s="39"/>
    </row>
    <row r="36" spans="1:8" ht="27" x14ac:dyDescent="0.6">
      <c r="A36" s="20" t="s">
        <v>55</v>
      </c>
      <c r="B36" s="4">
        <v>37488</v>
      </c>
      <c r="C36" s="3" t="s">
        <v>33</v>
      </c>
      <c r="D36" s="3" t="s">
        <v>33</v>
      </c>
      <c r="E36" s="3" t="s">
        <v>33</v>
      </c>
      <c r="F36" s="3" t="s">
        <v>33</v>
      </c>
      <c r="G36" s="3" t="s">
        <v>33</v>
      </c>
      <c r="H36" s="6">
        <v>37488</v>
      </c>
    </row>
    <row r="37" spans="1:8" ht="40.5" x14ac:dyDescent="0.6">
      <c r="A37" s="20" t="s">
        <v>56</v>
      </c>
      <c r="B37" s="3">
        <v>-74</v>
      </c>
      <c r="C37" s="3" t="s">
        <v>33</v>
      </c>
      <c r="D37" s="3" t="s">
        <v>33</v>
      </c>
      <c r="E37" s="3" t="s">
        <v>33</v>
      </c>
      <c r="F37" s="3" t="s">
        <v>33</v>
      </c>
      <c r="G37" s="3" t="s">
        <v>33</v>
      </c>
      <c r="H37" s="5">
        <v>-74</v>
      </c>
    </row>
    <row r="38" spans="1:8" ht="54" x14ac:dyDescent="0.6">
      <c r="A38" s="21" t="s">
        <v>57</v>
      </c>
      <c r="B38" s="40" t="s">
        <v>33</v>
      </c>
      <c r="C38" s="42">
        <v>-90538</v>
      </c>
      <c r="D38" s="40" t="s">
        <v>33</v>
      </c>
      <c r="E38" s="40" t="s">
        <v>33</v>
      </c>
      <c r="F38" s="40" t="s">
        <v>33</v>
      </c>
      <c r="G38" s="40" t="s">
        <v>33</v>
      </c>
      <c r="H38" s="44">
        <v>-90538</v>
      </c>
    </row>
    <row r="39" spans="1:8" ht="40.5" x14ac:dyDescent="0.6">
      <c r="A39" s="22" t="s">
        <v>58</v>
      </c>
      <c r="B39" s="41"/>
      <c r="C39" s="43"/>
      <c r="D39" s="41"/>
      <c r="E39" s="41"/>
      <c r="F39" s="41"/>
      <c r="G39" s="41"/>
      <c r="H39" s="45"/>
    </row>
    <row r="40" spans="1:8" ht="40.5" x14ac:dyDescent="0.6">
      <c r="A40" s="20" t="s">
        <v>59</v>
      </c>
      <c r="B40" s="3" t="s">
        <v>33</v>
      </c>
      <c r="C40" s="4">
        <v>2905</v>
      </c>
      <c r="D40" s="3" t="s">
        <v>33</v>
      </c>
      <c r="E40" s="3" t="s">
        <v>33</v>
      </c>
      <c r="F40" s="3" t="s">
        <v>33</v>
      </c>
      <c r="G40" s="3" t="s">
        <v>33</v>
      </c>
      <c r="H40" s="6">
        <v>2905</v>
      </c>
    </row>
    <row r="41" spans="1:8" x14ac:dyDescent="0.6">
      <c r="A41" s="19" t="s">
        <v>44</v>
      </c>
      <c r="B41" s="4">
        <v>37414</v>
      </c>
      <c r="C41" s="4">
        <v>-87633</v>
      </c>
      <c r="D41" s="3" t="s">
        <v>33</v>
      </c>
      <c r="E41" s="3" t="s">
        <v>33</v>
      </c>
      <c r="F41" s="3" t="s">
        <v>33</v>
      </c>
      <c r="G41" s="3" t="s">
        <v>33</v>
      </c>
      <c r="H41" s="6">
        <v>-50219</v>
      </c>
    </row>
    <row r="42" spans="1:8" x14ac:dyDescent="0.6">
      <c r="A42" s="12" t="s">
        <v>60</v>
      </c>
      <c r="B42" s="38"/>
      <c r="C42" s="38"/>
      <c r="D42" s="38"/>
      <c r="E42" s="38"/>
      <c r="F42" s="38"/>
      <c r="G42" s="38"/>
      <c r="H42" s="39"/>
    </row>
    <row r="43" spans="1:8" ht="27" customHeight="1" x14ac:dyDescent="0.6">
      <c r="A43" s="18" t="s">
        <v>32</v>
      </c>
      <c r="B43" s="3" t="s">
        <v>33</v>
      </c>
      <c r="C43" s="3" t="s">
        <v>33</v>
      </c>
      <c r="D43" s="3" t="s">
        <v>33</v>
      </c>
      <c r="E43" s="3" t="s">
        <v>33</v>
      </c>
      <c r="F43" s="3" t="s">
        <v>33</v>
      </c>
      <c r="G43" s="3" t="s">
        <v>33</v>
      </c>
      <c r="H43" s="5" t="s">
        <v>33</v>
      </c>
    </row>
    <row r="44" spans="1:8" ht="27" x14ac:dyDescent="0.6">
      <c r="A44" s="18" t="s">
        <v>34</v>
      </c>
      <c r="B44" s="4">
        <v>1320247</v>
      </c>
      <c r="C44" s="4">
        <v>45496</v>
      </c>
      <c r="D44" s="4">
        <v>9705</v>
      </c>
      <c r="E44" s="3">
        <v>30</v>
      </c>
      <c r="F44" s="4">
        <v>12451</v>
      </c>
      <c r="G44" s="4">
        <v>8756</v>
      </c>
      <c r="H44" s="6">
        <v>1396685</v>
      </c>
    </row>
    <row r="45" spans="1:8" ht="40.5" x14ac:dyDescent="0.6">
      <c r="A45" s="23" t="s">
        <v>61</v>
      </c>
      <c r="B45" s="7">
        <v>1320247</v>
      </c>
      <c r="C45" s="7">
        <v>45496</v>
      </c>
      <c r="D45" s="7">
        <v>9705</v>
      </c>
      <c r="E45" s="8">
        <v>30</v>
      </c>
      <c r="F45" s="7">
        <v>12451</v>
      </c>
      <c r="G45" s="7">
        <v>8756</v>
      </c>
      <c r="H45" s="9">
        <v>1396685</v>
      </c>
    </row>
    <row r="46" spans="1:8" x14ac:dyDescent="0.6">
      <c r="A46" s="16" t="s">
        <v>62</v>
      </c>
    </row>
    <row r="47" spans="1:8" ht="67.5" customHeight="1" x14ac:dyDescent="0.6">
      <c r="A47" s="17"/>
    </row>
    <row r="48" spans="1:8" ht="27" customHeight="1" x14ac:dyDescent="0.6">
      <c r="A48" s="24" t="s">
        <v>20</v>
      </c>
      <c r="B48" s="27" t="s">
        <v>21</v>
      </c>
      <c r="C48" s="28"/>
      <c r="D48" s="31" t="s">
        <v>23</v>
      </c>
      <c r="E48" s="32"/>
      <c r="F48" s="31" t="s">
        <v>13</v>
      </c>
      <c r="G48" s="32"/>
      <c r="H48" s="35" t="s">
        <v>25</v>
      </c>
    </row>
    <row r="49" spans="1:8" x14ac:dyDescent="0.6">
      <c r="A49" s="25"/>
      <c r="B49" s="29" t="s">
        <v>22</v>
      </c>
      <c r="C49" s="30"/>
      <c r="D49" s="33" t="s">
        <v>24</v>
      </c>
      <c r="E49" s="34"/>
      <c r="F49" s="33"/>
      <c r="G49" s="34"/>
      <c r="H49" s="36"/>
    </row>
    <row r="50" spans="1:8" ht="27" x14ac:dyDescent="0.6">
      <c r="A50" s="25"/>
      <c r="B50" s="13" t="s">
        <v>26</v>
      </c>
      <c r="C50" s="13" t="s">
        <v>27</v>
      </c>
      <c r="D50" s="13" t="s">
        <v>26</v>
      </c>
      <c r="E50" s="13" t="s">
        <v>27</v>
      </c>
      <c r="F50" s="10" t="s">
        <v>28</v>
      </c>
      <c r="G50" s="13" t="s">
        <v>30</v>
      </c>
      <c r="H50" s="36"/>
    </row>
    <row r="51" spans="1:8" ht="27" x14ac:dyDescent="0.6">
      <c r="A51" s="26"/>
      <c r="B51" s="14"/>
      <c r="C51" s="14"/>
      <c r="D51" s="14"/>
      <c r="E51" s="14"/>
      <c r="F51" s="11" t="s">
        <v>29</v>
      </c>
      <c r="G51" s="14"/>
      <c r="H51" s="37"/>
    </row>
    <row r="52" spans="1:8" x14ac:dyDescent="0.6">
      <c r="A52" s="12" t="s">
        <v>31</v>
      </c>
      <c r="B52" s="38"/>
      <c r="C52" s="38"/>
      <c r="D52" s="38"/>
      <c r="E52" s="38"/>
      <c r="F52" s="38"/>
      <c r="G52" s="38"/>
      <c r="H52" s="39"/>
    </row>
    <row r="53" spans="1:8" ht="27" customHeight="1" x14ac:dyDescent="0.6">
      <c r="A53" s="18" t="s">
        <v>32</v>
      </c>
      <c r="B53" s="3" t="s">
        <v>33</v>
      </c>
      <c r="C53" s="3" t="s">
        <v>33</v>
      </c>
      <c r="D53" s="3" t="s">
        <v>33</v>
      </c>
      <c r="E53" s="3" t="s">
        <v>33</v>
      </c>
      <c r="F53" s="3" t="s">
        <v>33</v>
      </c>
      <c r="G53" s="3" t="s">
        <v>33</v>
      </c>
      <c r="H53" s="5" t="s">
        <v>33</v>
      </c>
    </row>
    <row r="54" spans="1:8" ht="40.5" customHeight="1" x14ac:dyDescent="0.6">
      <c r="A54" s="18" t="s">
        <v>34</v>
      </c>
      <c r="B54" s="4">
        <v>6723164</v>
      </c>
      <c r="C54" s="4">
        <v>85726</v>
      </c>
      <c r="D54" s="4">
        <v>67212</v>
      </c>
      <c r="E54" s="4">
        <v>1176</v>
      </c>
      <c r="F54" s="4">
        <v>3211</v>
      </c>
      <c r="G54" s="4">
        <v>114348</v>
      </c>
      <c r="H54" s="6">
        <v>6994837</v>
      </c>
    </row>
    <row r="55" spans="1:8" ht="40.5" customHeight="1" x14ac:dyDescent="0.6">
      <c r="A55" s="18" t="s">
        <v>35</v>
      </c>
      <c r="B55" s="4">
        <v>6723164</v>
      </c>
      <c r="C55" s="4">
        <v>85726</v>
      </c>
      <c r="D55" s="4">
        <v>67212</v>
      </c>
      <c r="E55" s="4">
        <v>1176</v>
      </c>
      <c r="F55" s="4">
        <v>3211</v>
      </c>
      <c r="G55" s="4">
        <v>114348</v>
      </c>
      <c r="H55" s="6">
        <v>6994837</v>
      </c>
    </row>
    <row r="56" spans="1:8" ht="54" customHeight="1" x14ac:dyDescent="0.6">
      <c r="A56" s="12" t="s">
        <v>36</v>
      </c>
      <c r="B56" s="38"/>
      <c r="C56" s="38"/>
      <c r="D56" s="38"/>
      <c r="E56" s="38"/>
      <c r="F56" s="38"/>
      <c r="G56" s="38"/>
      <c r="H56" s="39"/>
    </row>
    <row r="57" spans="1:8" ht="27" x14ac:dyDescent="0.6">
      <c r="A57" s="18" t="s">
        <v>37</v>
      </c>
      <c r="B57" s="4">
        <v>44486</v>
      </c>
      <c r="C57" s="3" t="s">
        <v>33</v>
      </c>
      <c r="D57" s="3" t="s">
        <v>33</v>
      </c>
      <c r="E57" s="3" t="s">
        <v>33</v>
      </c>
      <c r="F57" s="4">
        <v>-16302</v>
      </c>
      <c r="G57" s="4">
        <v>-28184</v>
      </c>
      <c r="H57" s="5" t="s">
        <v>33</v>
      </c>
    </row>
    <row r="58" spans="1:8" ht="27" customHeight="1" x14ac:dyDescent="0.6">
      <c r="A58" s="18" t="s">
        <v>38</v>
      </c>
      <c r="B58" s="4">
        <v>14057</v>
      </c>
      <c r="C58" s="3" t="s">
        <v>33</v>
      </c>
      <c r="D58" s="3" t="s">
        <v>33</v>
      </c>
      <c r="E58" s="3" t="s">
        <v>33</v>
      </c>
      <c r="F58" s="4">
        <v>-3634</v>
      </c>
      <c r="G58" s="4">
        <v>-10423</v>
      </c>
      <c r="H58" s="5" t="s">
        <v>33</v>
      </c>
    </row>
    <row r="59" spans="1:8" ht="40.5" x14ac:dyDescent="0.6">
      <c r="A59" s="18" t="s">
        <v>39</v>
      </c>
      <c r="B59" s="4">
        <v>-28534</v>
      </c>
      <c r="C59" s="3" t="s">
        <v>33</v>
      </c>
      <c r="D59" s="3" t="s">
        <v>33</v>
      </c>
      <c r="E59" s="3" t="s">
        <v>33</v>
      </c>
      <c r="F59" s="4">
        <v>12440</v>
      </c>
      <c r="G59" s="4">
        <v>16094</v>
      </c>
      <c r="H59" s="5" t="s">
        <v>33</v>
      </c>
    </row>
    <row r="60" spans="1:8" ht="27" x14ac:dyDescent="0.6">
      <c r="A60" s="18" t="s">
        <v>40</v>
      </c>
      <c r="B60" s="4">
        <v>16520</v>
      </c>
      <c r="C60" s="3" t="s">
        <v>33</v>
      </c>
      <c r="D60" s="3" t="s">
        <v>33</v>
      </c>
      <c r="E60" s="3" t="s">
        <v>33</v>
      </c>
      <c r="F60" s="4">
        <v>-6976</v>
      </c>
      <c r="G60" s="4">
        <v>-9544</v>
      </c>
      <c r="H60" s="5" t="s">
        <v>33</v>
      </c>
    </row>
    <row r="61" spans="1:8" ht="67.5" customHeight="1" x14ac:dyDescent="0.6">
      <c r="A61" s="18" t="s">
        <v>41</v>
      </c>
      <c r="B61" s="4">
        <v>-849690</v>
      </c>
      <c r="C61" s="4">
        <v>888769</v>
      </c>
      <c r="D61" s="4">
        <v>1239</v>
      </c>
      <c r="E61" s="3" t="s">
        <v>33</v>
      </c>
      <c r="F61" s="4">
        <v>-16914</v>
      </c>
      <c r="G61" s="4">
        <v>-23404</v>
      </c>
      <c r="H61" s="5" t="s">
        <v>33</v>
      </c>
    </row>
    <row r="62" spans="1:8" ht="54" customHeight="1" x14ac:dyDescent="0.6">
      <c r="A62" s="18" t="s">
        <v>42</v>
      </c>
      <c r="B62" s="3" t="s">
        <v>33</v>
      </c>
      <c r="C62" s="3" t="s">
        <v>33</v>
      </c>
      <c r="D62" s="3" t="s">
        <v>33</v>
      </c>
      <c r="E62" s="3" t="s">
        <v>33</v>
      </c>
      <c r="F62" s="4">
        <v>32092</v>
      </c>
      <c r="G62" s="4">
        <v>15854</v>
      </c>
      <c r="H62" s="6">
        <v>47946</v>
      </c>
    </row>
    <row r="63" spans="1:8" ht="27" customHeight="1" x14ac:dyDescent="0.6">
      <c r="A63" s="18" t="s">
        <v>43</v>
      </c>
      <c r="B63" s="4">
        <v>-111344</v>
      </c>
      <c r="C63" s="3" t="s">
        <v>33</v>
      </c>
      <c r="D63" s="4">
        <v>15924</v>
      </c>
      <c r="E63" s="3" t="s">
        <v>33</v>
      </c>
      <c r="F63" s="3" t="s">
        <v>33</v>
      </c>
      <c r="G63" s="4">
        <v>99063</v>
      </c>
      <c r="H63" s="6">
        <v>3643</v>
      </c>
    </row>
    <row r="64" spans="1:8" x14ac:dyDescent="0.6">
      <c r="A64" s="19" t="s">
        <v>44</v>
      </c>
      <c r="B64" s="4">
        <v>-914505</v>
      </c>
      <c r="C64" s="4">
        <v>888769</v>
      </c>
      <c r="D64" s="4">
        <v>17163</v>
      </c>
      <c r="E64" s="3" t="s">
        <v>33</v>
      </c>
      <c r="F64" s="3">
        <v>706</v>
      </c>
      <c r="G64" s="4">
        <v>59456</v>
      </c>
      <c r="H64" s="6">
        <v>51589</v>
      </c>
    </row>
    <row r="65" spans="1:8" x14ac:dyDescent="0.6">
      <c r="A65" s="12" t="s">
        <v>45</v>
      </c>
      <c r="B65" s="38"/>
      <c r="C65" s="38"/>
      <c r="D65" s="38"/>
      <c r="E65" s="38"/>
      <c r="F65" s="38"/>
      <c r="G65" s="38"/>
      <c r="H65" s="39"/>
    </row>
    <row r="66" spans="1:8" ht="27" x14ac:dyDescent="0.6">
      <c r="A66" s="20" t="s">
        <v>46</v>
      </c>
      <c r="B66" s="3" t="s">
        <v>33</v>
      </c>
      <c r="C66" s="3" t="s">
        <v>33</v>
      </c>
      <c r="D66" s="4">
        <v>-3833</v>
      </c>
      <c r="E66" s="3" t="s">
        <v>33</v>
      </c>
      <c r="F66" s="3" t="s">
        <v>33</v>
      </c>
      <c r="G66" s="3" t="s">
        <v>33</v>
      </c>
      <c r="H66" s="6">
        <v>-3833</v>
      </c>
    </row>
    <row r="67" spans="1:8" ht="40.5" x14ac:dyDescent="0.6">
      <c r="A67" s="20" t="s">
        <v>47</v>
      </c>
      <c r="B67" s="3" t="s">
        <v>33</v>
      </c>
      <c r="C67" s="3" t="s">
        <v>33</v>
      </c>
      <c r="D67" s="3" t="s">
        <v>33</v>
      </c>
      <c r="E67" s="3" t="s">
        <v>33</v>
      </c>
      <c r="F67" s="3">
        <v>-448</v>
      </c>
      <c r="G67" s="4">
        <v>-16944</v>
      </c>
      <c r="H67" s="6">
        <v>-17392</v>
      </c>
    </row>
    <row r="68" spans="1:8" ht="54" x14ac:dyDescent="0.6">
      <c r="A68" s="20" t="s">
        <v>48</v>
      </c>
      <c r="B68" s="4">
        <v>-167143</v>
      </c>
      <c r="C68" s="4">
        <v>161272</v>
      </c>
      <c r="D68" s="3" t="s">
        <v>33</v>
      </c>
      <c r="E68" s="3" t="s">
        <v>33</v>
      </c>
      <c r="F68" s="3" t="s">
        <v>33</v>
      </c>
      <c r="G68" s="3" t="s">
        <v>33</v>
      </c>
      <c r="H68" s="6">
        <v>-5871</v>
      </c>
    </row>
    <row r="69" spans="1:8" x14ac:dyDescent="0.6">
      <c r="A69" s="19" t="s">
        <v>44</v>
      </c>
      <c r="B69" s="4">
        <v>-167143</v>
      </c>
      <c r="C69" s="4">
        <v>161272</v>
      </c>
      <c r="D69" s="4">
        <v>-3833</v>
      </c>
      <c r="E69" s="3" t="s">
        <v>33</v>
      </c>
      <c r="F69" s="3">
        <v>-448</v>
      </c>
      <c r="G69" s="4">
        <v>-16944</v>
      </c>
      <c r="H69" s="6">
        <v>-27096</v>
      </c>
    </row>
    <row r="70" spans="1:8" x14ac:dyDescent="0.6">
      <c r="A70" s="12" t="s">
        <v>49</v>
      </c>
      <c r="B70" s="38"/>
      <c r="C70" s="38"/>
      <c r="D70" s="38"/>
      <c r="E70" s="38"/>
      <c r="F70" s="38"/>
      <c r="G70" s="38"/>
      <c r="H70" s="39"/>
    </row>
    <row r="71" spans="1:8" ht="40.5" x14ac:dyDescent="0.6">
      <c r="A71" s="20" t="s">
        <v>50</v>
      </c>
      <c r="B71" s="3" t="s">
        <v>33</v>
      </c>
      <c r="C71" s="4">
        <v>-7913</v>
      </c>
      <c r="D71" s="3" t="s">
        <v>33</v>
      </c>
      <c r="E71" s="3">
        <v>412</v>
      </c>
      <c r="F71" s="3" t="s">
        <v>33</v>
      </c>
      <c r="G71" s="3" t="s">
        <v>33</v>
      </c>
      <c r="H71" s="6">
        <v>-7501</v>
      </c>
    </row>
    <row r="72" spans="1:8" x14ac:dyDescent="0.6">
      <c r="A72" s="12" t="s">
        <v>51</v>
      </c>
      <c r="B72" s="38"/>
      <c r="C72" s="38"/>
      <c r="D72" s="38"/>
      <c r="E72" s="38"/>
      <c r="F72" s="38"/>
      <c r="G72" s="38"/>
      <c r="H72" s="39"/>
    </row>
    <row r="73" spans="1:8" ht="27" x14ac:dyDescent="0.6">
      <c r="A73" s="20" t="s">
        <v>52</v>
      </c>
      <c r="B73" s="4">
        <v>233395</v>
      </c>
      <c r="C73" s="4">
        <v>1974</v>
      </c>
      <c r="D73" s="3" t="s">
        <v>33</v>
      </c>
      <c r="E73" s="3" t="s">
        <v>33</v>
      </c>
      <c r="F73" s="3">
        <v>95</v>
      </c>
      <c r="G73" s="4">
        <v>6510</v>
      </c>
      <c r="H73" s="6">
        <v>241974</v>
      </c>
    </row>
    <row r="74" spans="1:8" ht="40.5" x14ac:dyDescent="0.6">
      <c r="A74" s="20" t="s">
        <v>53</v>
      </c>
      <c r="B74" s="4">
        <v>-254507</v>
      </c>
      <c r="C74" s="3">
        <v>31</v>
      </c>
      <c r="D74" s="3" t="s">
        <v>33</v>
      </c>
      <c r="E74" s="3" t="s">
        <v>33</v>
      </c>
      <c r="F74" s="3" t="s">
        <v>33</v>
      </c>
      <c r="G74" s="3" t="s">
        <v>33</v>
      </c>
      <c r="H74" s="6">
        <v>-254476</v>
      </c>
    </row>
    <row r="75" spans="1:8" x14ac:dyDescent="0.6">
      <c r="A75" s="19" t="s">
        <v>44</v>
      </c>
      <c r="B75" s="4">
        <v>-21112</v>
      </c>
      <c r="C75" s="4">
        <v>2005</v>
      </c>
      <c r="D75" s="3" t="s">
        <v>33</v>
      </c>
      <c r="E75" s="3" t="s">
        <v>33</v>
      </c>
      <c r="F75" s="3">
        <v>95</v>
      </c>
      <c r="G75" s="4">
        <v>6510</v>
      </c>
      <c r="H75" s="6">
        <v>-12502</v>
      </c>
    </row>
    <row r="76" spans="1:8" x14ac:dyDescent="0.6">
      <c r="A76" s="12" t="s">
        <v>54</v>
      </c>
      <c r="B76" s="38"/>
      <c r="C76" s="38"/>
      <c r="D76" s="38"/>
      <c r="E76" s="38"/>
      <c r="F76" s="38"/>
      <c r="G76" s="38"/>
      <c r="H76" s="39"/>
    </row>
    <row r="77" spans="1:8" ht="27" x14ac:dyDescent="0.6">
      <c r="A77" s="20" t="s">
        <v>55</v>
      </c>
      <c r="B77" s="4">
        <v>992618</v>
      </c>
      <c r="C77" s="3" t="s">
        <v>33</v>
      </c>
      <c r="D77" s="3" t="s">
        <v>33</v>
      </c>
      <c r="E77" s="3" t="s">
        <v>33</v>
      </c>
      <c r="F77" s="3" t="s">
        <v>33</v>
      </c>
      <c r="G77" s="3" t="s">
        <v>33</v>
      </c>
      <c r="H77" s="6">
        <v>992618</v>
      </c>
    </row>
    <row r="78" spans="1:8" ht="27" customHeight="1" x14ac:dyDescent="0.6">
      <c r="A78" s="20" t="s">
        <v>56</v>
      </c>
      <c r="B78" s="4">
        <v>-183060</v>
      </c>
      <c r="C78" s="3" t="s">
        <v>33</v>
      </c>
      <c r="D78" s="3" t="s">
        <v>33</v>
      </c>
      <c r="E78" s="3" t="s">
        <v>33</v>
      </c>
      <c r="F78" s="3" t="s">
        <v>33</v>
      </c>
      <c r="G78" s="3" t="s">
        <v>33</v>
      </c>
      <c r="H78" s="6">
        <v>-183060</v>
      </c>
    </row>
    <row r="79" spans="1:8" ht="54" x14ac:dyDescent="0.6">
      <c r="A79" s="21" t="s">
        <v>57</v>
      </c>
      <c r="B79" s="40" t="s">
        <v>33</v>
      </c>
      <c r="C79" s="42">
        <v>-1049865</v>
      </c>
      <c r="D79" s="40" t="s">
        <v>33</v>
      </c>
      <c r="E79" s="40" t="s">
        <v>33</v>
      </c>
      <c r="F79" s="40" t="s">
        <v>33</v>
      </c>
      <c r="G79" s="40" t="s">
        <v>33</v>
      </c>
      <c r="H79" s="44">
        <v>-1049865</v>
      </c>
    </row>
    <row r="80" spans="1:8" ht="40.5" x14ac:dyDescent="0.6">
      <c r="A80" s="22" t="s">
        <v>58</v>
      </c>
      <c r="B80" s="41"/>
      <c r="C80" s="43"/>
      <c r="D80" s="41"/>
      <c r="E80" s="41"/>
      <c r="F80" s="41"/>
      <c r="G80" s="41"/>
      <c r="H80" s="45"/>
    </row>
    <row r="81" spans="1:8" ht="40.5" x14ac:dyDescent="0.6">
      <c r="A81" s="20" t="s">
        <v>59</v>
      </c>
      <c r="B81" s="3" t="s">
        <v>33</v>
      </c>
      <c r="C81" s="4">
        <v>10921</v>
      </c>
      <c r="D81" s="3" t="s">
        <v>33</v>
      </c>
      <c r="E81" s="3" t="s">
        <v>33</v>
      </c>
      <c r="F81" s="3" t="s">
        <v>33</v>
      </c>
      <c r="G81" s="3" t="s">
        <v>33</v>
      </c>
      <c r="H81" s="6">
        <v>10921</v>
      </c>
    </row>
    <row r="82" spans="1:8" x14ac:dyDescent="0.6">
      <c r="A82" s="19" t="s">
        <v>44</v>
      </c>
      <c r="B82" s="4">
        <v>809558</v>
      </c>
      <c r="C82" s="4">
        <v>-1038944</v>
      </c>
      <c r="D82" s="3" t="s">
        <v>33</v>
      </c>
      <c r="E82" s="3" t="s">
        <v>33</v>
      </c>
      <c r="F82" s="3" t="s">
        <v>33</v>
      </c>
      <c r="G82" s="3" t="s">
        <v>33</v>
      </c>
      <c r="H82" s="6">
        <v>-229386</v>
      </c>
    </row>
    <row r="83" spans="1:8" ht="27" customHeight="1" x14ac:dyDescent="0.6">
      <c r="A83" s="12" t="s">
        <v>60</v>
      </c>
      <c r="B83" s="38"/>
      <c r="C83" s="38"/>
      <c r="D83" s="38"/>
      <c r="E83" s="38"/>
      <c r="F83" s="38"/>
      <c r="G83" s="38"/>
      <c r="H83" s="39"/>
    </row>
    <row r="84" spans="1:8" ht="27" x14ac:dyDescent="0.6">
      <c r="A84" s="18" t="s">
        <v>32</v>
      </c>
      <c r="B84" s="3" t="s">
        <v>33</v>
      </c>
      <c r="C84" s="3" t="s">
        <v>33</v>
      </c>
      <c r="D84" s="3" t="s">
        <v>33</v>
      </c>
      <c r="E84" s="3" t="s">
        <v>33</v>
      </c>
      <c r="F84" s="3" t="s">
        <v>33</v>
      </c>
      <c r="G84" s="3" t="s">
        <v>33</v>
      </c>
      <c r="H84" s="5" t="s">
        <v>33</v>
      </c>
    </row>
    <row r="85" spans="1:8" ht="27" x14ac:dyDescent="0.6">
      <c r="A85" s="18" t="s">
        <v>34</v>
      </c>
      <c r="B85" s="4">
        <v>6429962</v>
      </c>
      <c r="C85" s="4">
        <v>90915</v>
      </c>
      <c r="D85" s="4">
        <v>80542</v>
      </c>
      <c r="E85" s="4">
        <v>1588</v>
      </c>
      <c r="F85" s="4">
        <v>3564</v>
      </c>
      <c r="G85" s="4">
        <v>163370</v>
      </c>
      <c r="H85" s="6">
        <v>6769941</v>
      </c>
    </row>
    <row r="86" spans="1:8" ht="40.5" x14ac:dyDescent="0.6">
      <c r="A86" s="23" t="s">
        <v>61</v>
      </c>
      <c r="B86" s="7">
        <v>6429962</v>
      </c>
      <c r="C86" s="7">
        <v>90915</v>
      </c>
      <c r="D86" s="7">
        <v>80542</v>
      </c>
      <c r="E86" s="7">
        <v>1588</v>
      </c>
      <c r="F86" s="7">
        <v>3564</v>
      </c>
      <c r="G86" s="7">
        <v>163370</v>
      </c>
      <c r="H86" s="9">
        <v>6769941</v>
      </c>
    </row>
    <row r="88" spans="1:8" ht="27" customHeight="1" x14ac:dyDescent="0.6">
      <c r="A88" s="16" t="s">
        <v>63</v>
      </c>
    </row>
    <row r="89" spans="1:8" x14ac:dyDescent="0.6">
      <c r="A89" s="17"/>
    </row>
    <row r="90" spans="1:8" x14ac:dyDescent="0.6">
      <c r="A90" s="24" t="s">
        <v>20</v>
      </c>
      <c r="B90" s="27" t="s">
        <v>21</v>
      </c>
      <c r="C90" s="28"/>
      <c r="D90" s="31" t="s">
        <v>23</v>
      </c>
      <c r="E90" s="32"/>
      <c r="F90" s="31" t="s">
        <v>13</v>
      </c>
      <c r="G90" s="32"/>
      <c r="H90" s="35" t="s">
        <v>25</v>
      </c>
    </row>
    <row r="91" spans="1:8" x14ac:dyDescent="0.6">
      <c r="A91" s="25"/>
      <c r="B91" s="29" t="s">
        <v>22</v>
      </c>
      <c r="C91" s="30"/>
      <c r="D91" s="33" t="s">
        <v>24</v>
      </c>
      <c r="E91" s="34"/>
      <c r="F91" s="33"/>
      <c r="G91" s="34"/>
      <c r="H91" s="36"/>
    </row>
    <row r="92" spans="1:8" ht="27" x14ac:dyDescent="0.6">
      <c r="A92" s="25"/>
      <c r="B92" s="13" t="s">
        <v>26</v>
      </c>
      <c r="C92" s="13" t="s">
        <v>27</v>
      </c>
      <c r="D92" s="13" t="s">
        <v>26</v>
      </c>
      <c r="E92" s="13" t="s">
        <v>27</v>
      </c>
      <c r="F92" s="10" t="s">
        <v>28</v>
      </c>
      <c r="G92" s="13" t="s">
        <v>30</v>
      </c>
      <c r="H92" s="36"/>
    </row>
    <row r="93" spans="1:8" ht="27" x14ac:dyDescent="0.6">
      <c r="A93" s="26"/>
      <c r="B93" s="14"/>
      <c r="C93" s="14"/>
      <c r="D93" s="14"/>
      <c r="E93" s="14"/>
      <c r="F93" s="11" t="s">
        <v>29</v>
      </c>
      <c r="G93" s="14"/>
      <c r="H93" s="37"/>
    </row>
    <row r="94" spans="1:8" x14ac:dyDescent="0.6">
      <c r="A94" s="12" t="s">
        <v>31</v>
      </c>
      <c r="B94" s="38"/>
      <c r="C94" s="38"/>
      <c r="D94" s="38"/>
      <c r="E94" s="38"/>
      <c r="F94" s="38"/>
      <c r="G94" s="38"/>
      <c r="H94" s="39"/>
    </row>
    <row r="95" spans="1:8" ht="27" x14ac:dyDescent="0.6">
      <c r="A95" s="18" t="s">
        <v>32</v>
      </c>
      <c r="B95" s="3" t="s">
        <v>33</v>
      </c>
      <c r="C95" s="3" t="s">
        <v>33</v>
      </c>
      <c r="D95" s="3" t="s">
        <v>33</v>
      </c>
      <c r="E95" s="3" t="s">
        <v>33</v>
      </c>
      <c r="F95" s="3" t="s">
        <v>33</v>
      </c>
      <c r="G95" s="3" t="s">
        <v>33</v>
      </c>
      <c r="H95" s="5" t="s">
        <v>33</v>
      </c>
    </row>
    <row r="96" spans="1:8" ht="27" x14ac:dyDescent="0.6">
      <c r="A96" s="18" t="s">
        <v>34</v>
      </c>
      <c r="B96" s="4">
        <v>13514</v>
      </c>
      <c r="C96" s="3">
        <v>116</v>
      </c>
      <c r="D96" s="3">
        <v>141</v>
      </c>
      <c r="E96" s="3">
        <v>4</v>
      </c>
      <c r="F96" s="4">
        <v>2019</v>
      </c>
      <c r="G96" s="3" t="s">
        <v>33</v>
      </c>
      <c r="H96" s="6">
        <v>15794</v>
      </c>
    </row>
    <row r="97" spans="1:8" ht="40.5" x14ac:dyDescent="0.6">
      <c r="A97" s="18" t="s">
        <v>35</v>
      </c>
      <c r="B97" s="4">
        <v>13514</v>
      </c>
      <c r="C97" s="3">
        <v>116</v>
      </c>
      <c r="D97" s="3">
        <v>141</v>
      </c>
      <c r="E97" s="3">
        <v>4</v>
      </c>
      <c r="F97" s="4">
        <v>2019</v>
      </c>
      <c r="G97" s="3" t="s">
        <v>33</v>
      </c>
      <c r="H97" s="6">
        <v>15794</v>
      </c>
    </row>
    <row r="98" spans="1:8" x14ac:dyDescent="0.6">
      <c r="A98" s="12" t="s">
        <v>36</v>
      </c>
      <c r="B98" s="38"/>
      <c r="C98" s="38"/>
      <c r="D98" s="38"/>
      <c r="E98" s="38"/>
      <c r="F98" s="38"/>
      <c r="G98" s="38"/>
      <c r="H98" s="39"/>
    </row>
    <row r="99" spans="1:8" ht="27" x14ac:dyDescent="0.6">
      <c r="A99" s="18" t="s">
        <v>37</v>
      </c>
      <c r="B99" s="3" t="s">
        <v>33</v>
      </c>
      <c r="C99" s="3" t="s">
        <v>33</v>
      </c>
      <c r="D99" s="3" t="s">
        <v>33</v>
      </c>
      <c r="E99" s="3" t="s">
        <v>33</v>
      </c>
      <c r="F99" s="3" t="s">
        <v>33</v>
      </c>
      <c r="G99" s="3" t="s">
        <v>33</v>
      </c>
      <c r="H99" s="5" t="s">
        <v>33</v>
      </c>
    </row>
    <row r="100" spans="1:8" ht="27" x14ac:dyDescent="0.6">
      <c r="A100" s="18" t="s">
        <v>38</v>
      </c>
      <c r="B100" s="3">
        <v>-94</v>
      </c>
      <c r="C100" s="3" t="s">
        <v>33</v>
      </c>
      <c r="D100" s="3" t="s">
        <v>33</v>
      </c>
      <c r="E100" s="3" t="s">
        <v>33</v>
      </c>
      <c r="F100" s="3">
        <v>94</v>
      </c>
      <c r="G100" s="3" t="s">
        <v>33</v>
      </c>
      <c r="H100" s="5" t="s">
        <v>33</v>
      </c>
    </row>
    <row r="101" spans="1:8" ht="40.5" x14ac:dyDescent="0.6">
      <c r="A101" s="18" t="s">
        <v>39</v>
      </c>
      <c r="B101" s="3">
        <v>-47</v>
      </c>
      <c r="C101" s="3" t="s">
        <v>33</v>
      </c>
      <c r="D101" s="3" t="s">
        <v>33</v>
      </c>
      <c r="E101" s="3" t="s">
        <v>33</v>
      </c>
      <c r="F101" s="3">
        <v>47</v>
      </c>
      <c r="G101" s="3" t="s">
        <v>33</v>
      </c>
      <c r="H101" s="5" t="s">
        <v>33</v>
      </c>
    </row>
    <row r="102" spans="1:8" ht="27" x14ac:dyDescent="0.6">
      <c r="A102" s="18" t="s">
        <v>40</v>
      </c>
      <c r="B102" s="3">
        <v>-186</v>
      </c>
      <c r="C102" s="3" t="s">
        <v>33</v>
      </c>
      <c r="D102" s="3" t="s">
        <v>33</v>
      </c>
      <c r="E102" s="3" t="s">
        <v>33</v>
      </c>
      <c r="F102" s="3">
        <v>186</v>
      </c>
      <c r="G102" s="3" t="s">
        <v>33</v>
      </c>
      <c r="H102" s="5" t="s">
        <v>33</v>
      </c>
    </row>
    <row r="103" spans="1:8" ht="54" x14ac:dyDescent="0.6">
      <c r="A103" s="18" t="s">
        <v>41</v>
      </c>
      <c r="B103" s="4">
        <v>-1526</v>
      </c>
      <c r="C103" s="4">
        <v>1338</v>
      </c>
      <c r="D103" s="3">
        <v>-9</v>
      </c>
      <c r="E103" s="3" t="s">
        <v>33</v>
      </c>
      <c r="F103" s="3">
        <v>197</v>
      </c>
      <c r="G103" s="3" t="s">
        <v>33</v>
      </c>
      <c r="H103" s="5" t="s">
        <v>33</v>
      </c>
    </row>
    <row r="104" spans="1:8" ht="27" x14ac:dyDescent="0.6">
      <c r="A104" s="18" t="s">
        <v>42</v>
      </c>
      <c r="B104" s="3" t="s">
        <v>33</v>
      </c>
      <c r="C104" s="3" t="s">
        <v>33</v>
      </c>
      <c r="D104" s="3" t="s">
        <v>33</v>
      </c>
      <c r="E104" s="3" t="s">
        <v>33</v>
      </c>
      <c r="F104" s="3">
        <v>-12</v>
      </c>
      <c r="G104" s="3" t="s">
        <v>33</v>
      </c>
      <c r="H104" s="5">
        <v>-12</v>
      </c>
    </row>
    <row r="105" spans="1:8" ht="27" x14ac:dyDescent="0.6">
      <c r="A105" s="18" t="s">
        <v>43</v>
      </c>
      <c r="B105" s="3" t="s">
        <v>33</v>
      </c>
      <c r="C105" s="3" t="s">
        <v>33</v>
      </c>
      <c r="D105" s="3" t="s">
        <v>33</v>
      </c>
      <c r="E105" s="3" t="s">
        <v>33</v>
      </c>
      <c r="F105" s="3" t="s">
        <v>33</v>
      </c>
      <c r="G105" s="3" t="s">
        <v>33</v>
      </c>
      <c r="H105" s="5" t="s">
        <v>33</v>
      </c>
    </row>
    <row r="106" spans="1:8" x14ac:dyDescent="0.6">
      <c r="A106" s="19" t="s">
        <v>44</v>
      </c>
      <c r="B106" s="4">
        <v>-1853</v>
      </c>
      <c r="C106" s="4">
        <v>1338</v>
      </c>
      <c r="D106" s="3">
        <v>-9</v>
      </c>
      <c r="E106" s="3" t="s">
        <v>33</v>
      </c>
      <c r="F106" s="3">
        <v>512</v>
      </c>
      <c r="G106" s="3" t="s">
        <v>33</v>
      </c>
      <c r="H106" s="5">
        <v>-12</v>
      </c>
    </row>
    <row r="107" spans="1:8" x14ac:dyDescent="0.6">
      <c r="A107" s="12" t="s">
        <v>45</v>
      </c>
      <c r="B107" s="38"/>
      <c r="C107" s="38"/>
      <c r="D107" s="38"/>
      <c r="E107" s="38"/>
      <c r="F107" s="38"/>
      <c r="G107" s="38"/>
      <c r="H107" s="39"/>
    </row>
    <row r="108" spans="1:8" ht="27" x14ac:dyDescent="0.6">
      <c r="A108" s="20" t="s">
        <v>46</v>
      </c>
      <c r="B108" s="3" t="s">
        <v>33</v>
      </c>
      <c r="C108" s="3" t="s">
        <v>33</v>
      </c>
      <c r="D108" s="3">
        <v>27</v>
      </c>
      <c r="E108" s="3" t="s">
        <v>33</v>
      </c>
      <c r="F108" s="3" t="s">
        <v>33</v>
      </c>
      <c r="G108" s="3" t="s">
        <v>33</v>
      </c>
      <c r="H108" s="5">
        <v>27</v>
      </c>
    </row>
    <row r="109" spans="1:8" ht="67.5" customHeight="1" x14ac:dyDescent="0.6">
      <c r="A109" s="20" t="s">
        <v>47</v>
      </c>
      <c r="B109" s="3" t="s">
        <v>33</v>
      </c>
      <c r="C109" s="3" t="s">
        <v>33</v>
      </c>
      <c r="D109" s="3" t="s">
        <v>33</v>
      </c>
      <c r="E109" s="3" t="s">
        <v>33</v>
      </c>
      <c r="F109" s="3">
        <v>-189</v>
      </c>
      <c r="G109" s="3" t="s">
        <v>33</v>
      </c>
      <c r="H109" s="5">
        <v>-189</v>
      </c>
    </row>
    <row r="110" spans="1:8" ht="54" x14ac:dyDescent="0.6">
      <c r="A110" s="20" t="s">
        <v>48</v>
      </c>
      <c r="B110" s="3">
        <v>-244</v>
      </c>
      <c r="C110" s="3">
        <v>152</v>
      </c>
      <c r="D110" s="3" t="s">
        <v>33</v>
      </c>
      <c r="E110" s="3" t="s">
        <v>33</v>
      </c>
      <c r="F110" s="3" t="s">
        <v>33</v>
      </c>
      <c r="G110" s="3" t="s">
        <v>33</v>
      </c>
      <c r="H110" s="5">
        <v>-92</v>
      </c>
    </row>
    <row r="111" spans="1:8" x14ac:dyDescent="0.6">
      <c r="A111" s="19" t="s">
        <v>44</v>
      </c>
      <c r="B111" s="3">
        <v>-244</v>
      </c>
      <c r="C111" s="3">
        <v>152</v>
      </c>
      <c r="D111" s="3">
        <v>27</v>
      </c>
      <c r="E111" s="3" t="s">
        <v>33</v>
      </c>
      <c r="F111" s="3">
        <v>-189</v>
      </c>
      <c r="G111" s="3" t="s">
        <v>33</v>
      </c>
      <c r="H111" s="5">
        <v>-254</v>
      </c>
    </row>
    <row r="112" spans="1:8" x14ac:dyDescent="0.6">
      <c r="A112" s="12" t="s">
        <v>49</v>
      </c>
      <c r="B112" s="38"/>
      <c r="C112" s="38"/>
      <c r="D112" s="38"/>
      <c r="E112" s="38"/>
      <c r="F112" s="38"/>
      <c r="G112" s="38"/>
      <c r="H112" s="39"/>
    </row>
    <row r="113" spans="1:8" ht="40.5" x14ac:dyDescent="0.6">
      <c r="A113" s="20" t="s">
        <v>50</v>
      </c>
      <c r="B113" s="3" t="s">
        <v>33</v>
      </c>
      <c r="C113" s="3">
        <v>-7</v>
      </c>
      <c r="D113" s="3" t="s">
        <v>33</v>
      </c>
      <c r="E113" s="3" t="s">
        <v>33</v>
      </c>
      <c r="F113" s="3" t="s">
        <v>33</v>
      </c>
      <c r="G113" s="3" t="s">
        <v>33</v>
      </c>
      <c r="H113" s="5">
        <v>-7</v>
      </c>
    </row>
    <row r="114" spans="1:8" x14ac:dyDescent="0.6">
      <c r="A114" s="12" t="s">
        <v>51</v>
      </c>
      <c r="B114" s="38"/>
      <c r="C114" s="38"/>
      <c r="D114" s="38"/>
      <c r="E114" s="38"/>
      <c r="F114" s="38"/>
      <c r="G114" s="38"/>
      <c r="H114" s="39"/>
    </row>
    <row r="115" spans="1:8" ht="27" x14ac:dyDescent="0.6">
      <c r="A115" s="20" t="s">
        <v>52</v>
      </c>
      <c r="B115" s="4">
        <v>4199</v>
      </c>
      <c r="C115" s="3">
        <v>4</v>
      </c>
      <c r="D115" s="3" t="s">
        <v>33</v>
      </c>
      <c r="E115" s="3" t="s">
        <v>33</v>
      </c>
      <c r="F115" s="3">
        <v>172</v>
      </c>
      <c r="G115" s="3" t="s">
        <v>33</v>
      </c>
      <c r="H115" s="6">
        <v>4375</v>
      </c>
    </row>
    <row r="116" spans="1:8" ht="40.5" x14ac:dyDescent="0.6">
      <c r="A116" s="20" t="s">
        <v>53</v>
      </c>
      <c r="B116" s="3" t="s">
        <v>33</v>
      </c>
      <c r="C116" s="3" t="s">
        <v>33</v>
      </c>
      <c r="D116" s="3" t="s">
        <v>33</v>
      </c>
      <c r="E116" s="3" t="s">
        <v>33</v>
      </c>
      <c r="F116" s="3" t="s">
        <v>33</v>
      </c>
      <c r="G116" s="3" t="s">
        <v>33</v>
      </c>
      <c r="H116" s="5" t="s">
        <v>33</v>
      </c>
    </row>
    <row r="117" spans="1:8" x14ac:dyDescent="0.6">
      <c r="A117" s="19" t="s">
        <v>44</v>
      </c>
      <c r="B117" s="4">
        <v>4199</v>
      </c>
      <c r="C117" s="3">
        <v>4</v>
      </c>
      <c r="D117" s="3" t="s">
        <v>33</v>
      </c>
      <c r="E117" s="3" t="s">
        <v>33</v>
      </c>
      <c r="F117" s="3">
        <v>172</v>
      </c>
      <c r="G117" s="3" t="s">
        <v>33</v>
      </c>
      <c r="H117" s="6">
        <v>4375</v>
      </c>
    </row>
    <row r="118" spans="1:8" x14ac:dyDescent="0.6">
      <c r="A118" s="12" t="s">
        <v>54</v>
      </c>
      <c r="B118" s="38"/>
      <c r="C118" s="38"/>
      <c r="D118" s="38"/>
      <c r="E118" s="38"/>
      <c r="F118" s="38"/>
      <c r="G118" s="38"/>
      <c r="H118" s="39"/>
    </row>
    <row r="119" spans="1:8" ht="27" x14ac:dyDescent="0.6">
      <c r="A119" s="20" t="s">
        <v>55</v>
      </c>
      <c r="B119" s="3">
        <v>767</v>
      </c>
      <c r="C119" s="3" t="s">
        <v>33</v>
      </c>
      <c r="D119" s="3" t="s">
        <v>33</v>
      </c>
      <c r="E119" s="3" t="s">
        <v>33</v>
      </c>
      <c r="F119" s="3" t="s">
        <v>33</v>
      </c>
      <c r="G119" s="3" t="s">
        <v>33</v>
      </c>
      <c r="H119" s="5">
        <v>767</v>
      </c>
    </row>
    <row r="120" spans="1:8" ht="40.5" x14ac:dyDescent="0.6">
      <c r="A120" s="20" t="s">
        <v>56</v>
      </c>
      <c r="B120" s="3">
        <v>-1</v>
      </c>
      <c r="C120" s="3" t="s">
        <v>33</v>
      </c>
      <c r="D120" s="3" t="s">
        <v>33</v>
      </c>
      <c r="E120" s="3" t="s">
        <v>33</v>
      </c>
      <c r="F120" s="3" t="s">
        <v>33</v>
      </c>
      <c r="G120" s="3" t="s">
        <v>33</v>
      </c>
      <c r="H120" s="5">
        <v>-1</v>
      </c>
    </row>
    <row r="121" spans="1:8" ht="54" x14ac:dyDescent="0.6">
      <c r="A121" s="21" t="s">
        <v>57</v>
      </c>
      <c r="B121" s="40" t="s">
        <v>33</v>
      </c>
      <c r="C121" s="42">
        <v>-1561</v>
      </c>
      <c r="D121" s="40" t="s">
        <v>33</v>
      </c>
      <c r="E121" s="40" t="s">
        <v>33</v>
      </c>
      <c r="F121" s="40" t="s">
        <v>33</v>
      </c>
      <c r="G121" s="40" t="s">
        <v>33</v>
      </c>
      <c r="H121" s="44">
        <v>-1561</v>
      </c>
    </row>
    <row r="122" spans="1:8" ht="40.5" x14ac:dyDescent="0.6">
      <c r="A122" s="22" t="s">
        <v>58</v>
      </c>
      <c r="B122" s="41"/>
      <c r="C122" s="43"/>
      <c r="D122" s="41"/>
      <c r="E122" s="41"/>
      <c r="F122" s="41"/>
      <c r="G122" s="41"/>
      <c r="H122" s="45"/>
    </row>
    <row r="123" spans="1:8" ht="40.5" x14ac:dyDescent="0.6">
      <c r="A123" s="20" t="s">
        <v>59</v>
      </c>
      <c r="B123" s="3" t="s">
        <v>33</v>
      </c>
      <c r="C123" s="3">
        <v>87</v>
      </c>
      <c r="D123" s="3" t="s">
        <v>33</v>
      </c>
      <c r="E123" s="3" t="s">
        <v>33</v>
      </c>
      <c r="F123" s="3" t="s">
        <v>33</v>
      </c>
      <c r="G123" s="3" t="s">
        <v>33</v>
      </c>
      <c r="H123" s="5">
        <v>87</v>
      </c>
    </row>
    <row r="124" spans="1:8" ht="27" customHeight="1" x14ac:dyDescent="0.6">
      <c r="A124" s="19" t="s">
        <v>44</v>
      </c>
      <c r="B124" s="3">
        <v>766</v>
      </c>
      <c r="C124" s="4">
        <v>-1474</v>
      </c>
      <c r="D124" s="3" t="s">
        <v>33</v>
      </c>
      <c r="E124" s="3" t="s">
        <v>33</v>
      </c>
      <c r="F124" s="3" t="s">
        <v>33</v>
      </c>
      <c r="G124" s="3" t="s">
        <v>33</v>
      </c>
      <c r="H124" s="5">
        <v>-708</v>
      </c>
    </row>
    <row r="125" spans="1:8" x14ac:dyDescent="0.6">
      <c r="A125" s="12" t="s">
        <v>60</v>
      </c>
      <c r="B125" s="38"/>
      <c r="C125" s="38"/>
      <c r="D125" s="38"/>
      <c r="E125" s="38"/>
      <c r="F125" s="38"/>
      <c r="G125" s="38"/>
      <c r="H125" s="39"/>
    </row>
    <row r="126" spans="1:8" ht="27" x14ac:dyDescent="0.6">
      <c r="A126" s="18" t="s">
        <v>32</v>
      </c>
      <c r="B126" s="3" t="s">
        <v>33</v>
      </c>
      <c r="C126" s="3" t="s">
        <v>33</v>
      </c>
      <c r="D126" s="3" t="s">
        <v>33</v>
      </c>
      <c r="E126" s="3" t="s">
        <v>33</v>
      </c>
      <c r="F126" s="3" t="s">
        <v>33</v>
      </c>
      <c r="G126" s="3" t="s">
        <v>33</v>
      </c>
      <c r="H126" s="5" t="s">
        <v>33</v>
      </c>
    </row>
    <row r="127" spans="1:8" ht="27" x14ac:dyDescent="0.6">
      <c r="A127" s="18" t="s">
        <v>34</v>
      </c>
      <c r="B127" s="4">
        <v>16382</v>
      </c>
      <c r="C127" s="3">
        <v>129</v>
      </c>
      <c r="D127" s="3">
        <v>159</v>
      </c>
      <c r="E127" s="3">
        <v>4</v>
      </c>
      <c r="F127" s="4">
        <v>2514</v>
      </c>
      <c r="G127" s="3" t="s">
        <v>33</v>
      </c>
      <c r="H127" s="6">
        <v>19188</v>
      </c>
    </row>
    <row r="128" spans="1:8" ht="40.5" x14ac:dyDescent="0.6">
      <c r="A128" s="23" t="s">
        <v>61</v>
      </c>
      <c r="B128" s="7">
        <v>16382</v>
      </c>
      <c r="C128" s="8">
        <v>129</v>
      </c>
      <c r="D128" s="8">
        <v>159</v>
      </c>
      <c r="E128" s="8">
        <v>4</v>
      </c>
      <c r="F128" s="7">
        <v>2514</v>
      </c>
      <c r="G128" s="8" t="s">
        <v>33</v>
      </c>
      <c r="H128" s="9">
        <v>19188</v>
      </c>
    </row>
    <row r="129" ht="27" customHeight="1" x14ac:dyDescent="0.6"/>
    <row r="162" ht="27" customHeight="1" x14ac:dyDescent="0.6"/>
    <row r="167" ht="27" customHeight="1" x14ac:dyDescent="0.6"/>
  </sheetData>
  <mergeCells count="78">
    <mergeCell ref="A125:H125"/>
    <mergeCell ref="A118:H118"/>
    <mergeCell ref="B121:B122"/>
    <mergeCell ref="C121:C122"/>
    <mergeCell ref="D121:D122"/>
    <mergeCell ref="E121:E122"/>
    <mergeCell ref="F121:F122"/>
    <mergeCell ref="G121:G122"/>
    <mergeCell ref="H121:H122"/>
    <mergeCell ref="A94:H94"/>
    <mergeCell ref="A98:H98"/>
    <mergeCell ref="A107:H107"/>
    <mergeCell ref="A112:H112"/>
    <mergeCell ref="A114:H114"/>
    <mergeCell ref="A83:H83"/>
    <mergeCell ref="A90:A93"/>
    <mergeCell ref="B90:C90"/>
    <mergeCell ref="B91:C91"/>
    <mergeCell ref="D90:E90"/>
    <mergeCell ref="D91:E91"/>
    <mergeCell ref="F90:G91"/>
    <mergeCell ref="H90:H93"/>
    <mergeCell ref="B92:B93"/>
    <mergeCell ref="C92:C93"/>
    <mergeCell ref="D92:D93"/>
    <mergeCell ref="E92:E93"/>
    <mergeCell ref="G92:G93"/>
    <mergeCell ref="A76:H76"/>
    <mergeCell ref="B79:B80"/>
    <mergeCell ref="C79:C80"/>
    <mergeCell ref="D79:D80"/>
    <mergeCell ref="E79:E80"/>
    <mergeCell ref="F79:F80"/>
    <mergeCell ref="G79:G80"/>
    <mergeCell ref="H79:H80"/>
    <mergeCell ref="A52:H52"/>
    <mergeCell ref="A56:H56"/>
    <mergeCell ref="A65:H65"/>
    <mergeCell ref="A70:H70"/>
    <mergeCell ref="A72:H72"/>
    <mergeCell ref="A42:H42"/>
    <mergeCell ref="A48:A51"/>
    <mergeCell ref="B48:C48"/>
    <mergeCell ref="B49:C49"/>
    <mergeCell ref="D48:E48"/>
    <mergeCell ref="D49:E49"/>
    <mergeCell ref="F48:G49"/>
    <mergeCell ref="H48:H51"/>
    <mergeCell ref="B50:B51"/>
    <mergeCell ref="C50:C51"/>
    <mergeCell ref="D50:D51"/>
    <mergeCell ref="E50:E51"/>
    <mergeCell ref="G50:G51"/>
    <mergeCell ref="A35:H35"/>
    <mergeCell ref="B38:B39"/>
    <mergeCell ref="C38:C39"/>
    <mergeCell ref="D38:D39"/>
    <mergeCell ref="E38:E39"/>
    <mergeCell ref="F38:F39"/>
    <mergeCell ref="G38:G39"/>
    <mergeCell ref="H38:H39"/>
    <mergeCell ref="A11:H11"/>
    <mergeCell ref="A15:H15"/>
    <mergeCell ref="A24:H24"/>
    <mergeCell ref="A29:H29"/>
    <mergeCell ref="A31:H31"/>
    <mergeCell ref="F7:G8"/>
    <mergeCell ref="H7:H10"/>
    <mergeCell ref="B9:B10"/>
    <mergeCell ref="C9:C10"/>
    <mergeCell ref="D9:D10"/>
    <mergeCell ref="E9:E10"/>
    <mergeCell ref="G9:G10"/>
    <mergeCell ref="A7:A10"/>
    <mergeCell ref="B7:C7"/>
    <mergeCell ref="B8:C8"/>
    <mergeCell ref="D7:E7"/>
    <mergeCell ref="D8:E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2026-06-03T12:00:22Z</dcterms:modified>
</cp:coreProperties>
</file>