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CAA5F68D-0497-47CC-9D5E-193BF9961246}" xr6:coauthVersionLast="47" xr6:coauthVersionMax="47" xr10:uidLastSave="{00000000-0000-0000-0000-000000000000}"/>
  <bookViews>
    <workbookView xWindow="-98" yWindow="-98" windowWidth="21795" windowHeight="12975" xr2:uid="{3CD259B9-5A78-42E0-B669-107C3DC53255}"/>
  </bookViews>
  <sheets>
    <sheet name="Sheet2" sheetId="2" r:id="rId1"/>
    <sheet name="부문별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7" i="2"/>
  <c r="L6" i="2"/>
  <c r="L4" i="2"/>
  <c r="L2" i="2"/>
  <c r="K2" i="2"/>
  <c r="K3" i="2"/>
  <c r="K4" i="2"/>
  <c r="K6" i="2"/>
  <c r="K7" i="2"/>
  <c r="K5" i="2" s="1"/>
  <c r="J26" i="2"/>
  <c r="J27" i="2" s="1"/>
  <c r="J25" i="2"/>
  <c r="J24" i="2"/>
  <c r="J7" i="2"/>
  <c r="J5" i="2" s="1"/>
  <c r="J6" i="2"/>
  <c r="J4" i="2"/>
  <c r="J3" i="2"/>
  <c r="J2" i="2"/>
  <c r="I7" i="2"/>
  <c r="I5" i="2" s="1"/>
  <c r="I6" i="2"/>
  <c r="I4" i="2"/>
  <c r="I3" i="2"/>
  <c r="I2" i="2"/>
  <c r="H2" i="2"/>
  <c r="H7" i="2"/>
  <c r="H6" i="2"/>
  <c r="H4" i="2"/>
  <c r="H3" i="2"/>
  <c r="L5" i="2" l="1"/>
  <c r="H5" i="2" l="1"/>
</calcChain>
</file>

<file path=xl/sharedStrings.xml><?xml version="1.0" encoding="utf-8"?>
<sst xmlns="http://schemas.openxmlformats.org/spreadsheetml/2006/main" count="595" uniqueCount="68">
  <si>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</si>
  <si>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</si>
  <si>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</si>
  <si>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</si>
  <si>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</si>
  <si>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</si>
  <si>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</si>
  <si>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1" type="noConversion"/>
  </si>
  <si>
    <t>신계약 CSM</t>
    <phoneticPr fontId="1" type="noConversion"/>
  </si>
  <si>
    <t>이자 부리</t>
    <phoneticPr fontId="1" type="noConversion"/>
  </si>
  <si>
    <t>CSM 상각</t>
    <phoneticPr fontId="1" type="noConversion"/>
  </si>
  <si>
    <t>기말 CSM</t>
    <phoneticPr fontId="1" type="noConversion"/>
  </si>
  <si>
    <t>보험계약마진</t>
  </si>
  <si>
    <t>가정 및 경험 조정 등</t>
    <phoneticPr fontId="1" type="noConversion"/>
  </si>
  <si>
    <t>보험계약</t>
  </si>
  <si>
    <t>미래에셋생명</t>
    <phoneticPr fontId="1" type="noConversion"/>
  </si>
  <si>
    <t>생명보험</t>
    <phoneticPr fontId="1" type="noConversion"/>
  </si>
  <si>
    <t>보험계약마진을 조정하는 변동</t>
  </si>
  <si>
    <t>보험계약마진을 조정하지 않는 변동</t>
  </si>
  <si>
    <t>처음 인식한 계약의 효과</t>
  </si>
  <si>
    <t>위험조정 변동분</t>
  </si>
  <si>
    <t>경험조정</t>
  </si>
  <si>
    <t>수취한 보험료</t>
  </si>
  <si>
    <t>보험취득현금흐름 지급</t>
  </si>
  <si>
    <t>당기손익인식 보험금융손익</t>
  </si>
  <si>
    <t>기타포괄손익인식 보험금융손익</t>
  </si>
  <si>
    <t>기타증감</t>
  </si>
  <si>
    <t>사망보험</t>
    <phoneticPr fontId="1" type="noConversion"/>
  </si>
  <si>
    <t>건강보험</t>
    <phoneticPr fontId="1" type="noConversion"/>
  </si>
  <si>
    <t>연금저축보험</t>
    <phoneticPr fontId="1" type="noConversion"/>
  </si>
  <si>
    <t>i) 사망</t>
  </si>
  <si>
    <t>(단위: 백만원)</t>
  </si>
  <si>
    <t>구분</t>
  </si>
  <si>
    <t>보험료배분접근법 외 보험계약</t>
  </si>
  <si>
    <t>합계</t>
  </si>
  <si>
    <t>미래현금흐름의</t>
  </si>
  <si>
    <t>현재가치 추정치</t>
  </si>
  <si>
    <t>비금융위험에</t>
  </si>
  <si>
    <t>대한 위험조정</t>
  </si>
  <si>
    <t>전환 시점에 존재했던 보험계약 중 수정소급법을 적용한 보험계약</t>
  </si>
  <si>
    <t>전환 시점에 존재했던 보험계약 중 공정가치법을 적용한 보험계약</t>
  </si>
  <si>
    <t>그 밖의 모든</t>
  </si>
  <si>
    <t>소계</t>
  </si>
  <si>
    <t>당분기</t>
  </si>
  <si>
    <t>기초</t>
  </si>
  <si>
    <t>보험계약자산</t>
  </si>
  <si>
    <t>-</t>
  </si>
  <si>
    <t>보험계약부채</t>
  </si>
  <si>
    <t>기초 잔액</t>
  </si>
  <si>
    <t>미래서비스와관련된 변동분</t>
  </si>
  <si>
    <t>현행서비스와 관련된 변동분</t>
  </si>
  <si>
    <t>보험계약마진의 당기인식분</t>
  </si>
  <si>
    <t>과거서비스와 관련된 변동분</t>
  </si>
  <si>
    <t>발생사고요소와 관련된 이행현금흐름의변동분</t>
  </si>
  <si>
    <t>현금흐름</t>
  </si>
  <si>
    <t>보험금(투자요소 포함) 및 기타 보험서비스비용의 지급</t>
  </si>
  <si>
    <t>보험금융손익</t>
  </si>
  <si>
    <t>기말</t>
  </si>
  <si>
    <t>기말 잔액</t>
  </si>
  <si>
    <t>미래서비스와 관련된 변동분</t>
  </si>
  <si>
    <t>ii) 건강</t>
  </si>
  <si>
    <t>발생사고요소와 관련된 이행현금흐름의 변동분</t>
  </si>
  <si>
    <t>iii) 연금</t>
  </si>
  <si>
    <t>전환 시점에 존재했던 보험계약 중</t>
  </si>
  <si>
    <t>수정소급법을 적용한 보험계약</t>
  </si>
  <si>
    <t>iv) 저축</t>
  </si>
  <si>
    <t>v) 기타</t>
  </si>
  <si>
    <t>2025.1Q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</si>
</sst>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  <font>
      <sz val="9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2" fillId="0" borderId="0" xfId="0" applyFont="1" applyAlignment="1">
      <alignment horizontal="justify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2" borderId="19" xfId="0" applyFont="1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3" fillId="2" borderId="10" xfId="0" applyFont="1" applyFill="1" applyBorder="1" applyAlignment="1">
      <alignment horizontal="right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N34"/>
  <sheetViews>
    <sheetView tabSelected="1" workbookViewId="0"/>
  </sheetViews>
  <sheetFormatPr defaultRowHeight="16.899999999999999" x14ac:dyDescent="0.6"/>
  <cols>
    <col min="8" max="8" width="15.1875" bestFit="1" customWidth="1"/>
    <col min="10" max="10" width="9.75" bestFit="1" customWidth="1"/>
  </cols>
  <sheetData>
    <row r="1" spans="1:14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27</v>
      </c>
      <c r="I1" s="2" t="s">
        <v>28</v>
      </c>
      <c r="J1" s="2" t="s">
        <v>29</v>
      </c>
    </row>
    <row r="2" spans="1:14" x14ac:dyDescent="0.6">
      <c r="A2" s="2"/>
      <c r="B2" s="2" t="s">
        <v>15</v>
      </c>
      <c r="C2" s="2"/>
      <c r="D2" s="2" t="s">
        <v>16</v>
      </c>
      <c r="E2" s="2">
        <v>1</v>
      </c>
      <c r="F2" s="2" t="s">
        <v>7</v>
      </c>
      <c r="G2" s="2" t="s">
        <v>67</v>
      </c>
      <c r="H2" s="1">
        <f>부문별!I9</f>
        <v>785941</v>
      </c>
      <c r="I2" s="1">
        <f>부문별!I35</f>
        <v>883688</v>
      </c>
      <c r="J2" s="1">
        <f>부문별!I61</f>
        <v>239327</v>
      </c>
      <c r="K2" s="1">
        <f>부문별!I87</f>
        <v>168607</v>
      </c>
      <c r="L2" s="1">
        <f>부문별!I113</f>
        <v>649</v>
      </c>
      <c r="N2" s="1"/>
    </row>
    <row r="3" spans="1:14" x14ac:dyDescent="0.6">
      <c r="A3" s="2"/>
      <c r="B3" s="2" t="s">
        <v>15</v>
      </c>
      <c r="C3" s="2"/>
      <c r="D3" s="2" t="s">
        <v>16</v>
      </c>
      <c r="E3" s="2">
        <v>2</v>
      </c>
      <c r="F3" s="2" t="s">
        <v>8</v>
      </c>
      <c r="G3" s="2" t="s">
        <v>67</v>
      </c>
      <c r="H3" s="1">
        <f>부문별!I12</f>
        <v>10269</v>
      </c>
      <c r="I3" s="1">
        <f>부문별!I38</f>
        <v>115167</v>
      </c>
      <c r="J3" s="1">
        <f>부문별!I64</f>
        <v>8234</v>
      </c>
      <c r="K3" s="1">
        <f>부문별!I90</f>
        <v>7369</v>
      </c>
      <c r="L3" s="1">
        <f>N(부문별!I116)</f>
        <v>0</v>
      </c>
      <c r="N3" s="1"/>
    </row>
    <row r="4" spans="1:14" x14ac:dyDescent="0.6">
      <c r="A4" s="2"/>
      <c r="B4" s="2" t="s">
        <v>15</v>
      </c>
      <c r="C4" s="2"/>
      <c r="D4" s="2" t="s">
        <v>16</v>
      </c>
      <c r="E4">
        <v>3</v>
      </c>
      <c r="F4" s="2" t="s">
        <v>9</v>
      </c>
      <c r="G4" t="s">
        <v>67</v>
      </c>
      <c r="H4" s="1">
        <f>부문별!I20</f>
        <v>4948</v>
      </c>
      <c r="I4" s="1">
        <f>부문별!I46</f>
        <v>8230</v>
      </c>
      <c r="J4" s="1">
        <f>부문별!I72</f>
        <v>1380</v>
      </c>
      <c r="K4" s="1">
        <f>부문별!I98</f>
        <v>142</v>
      </c>
      <c r="L4" s="1">
        <f>부문별!I124</f>
        <v>4</v>
      </c>
      <c r="N4" s="1"/>
    </row>
    <row r="5" spans="1:14" x14ac:dyDescent="0.6">
      <c r="A5" s="2"/>
      <c r="B5" s="2" t="s">
        <v>15</v>
      </c>
      <c r="C5" s="2"/>
      <c r="D5" s="2" t="s">
        <v>16</v>
      </c>
      <c r="E5" s="2">
        <v>4</v>
      </c>
      <c r="F5" s="2" t="s">
        <v>13</v>
      </c>
      <c r="G5" t="s">
        <v>67</v>
      </c>
      <c r="H5" s="1">
        <f t="shared" ref="H5" si="0">H7-H6-H4-H3-H2</f>
        <v>-62318</v>
      </c>
      <c r="I5" s="1">
        <f>I7-I6-I4-I3-I2</f>
        <v>-36386</v>
      </c>
      <c r="J5" s="1">
        <f>J7-J6-J4-J3-J2</f>
        <v>-14622</v>
      </c>
      <c r="K5" s="1">
        <f>K7-K6-K4-K3-K2</f>
        <v>12456</v>
      </c>
      <c r="L5" s="1">
        <f>L7-L6-L4-L3-L2</f>
        <v>15</v>
      </c>
      <c r="N5" s="1"/>
    </row>
    <row r="6" spans="1:14" x14ac:dyDescent="0.6">
      <c r="A6" s="2"/>
      <c r="B6" s="2" t="s">
        <v>15</v>
      </c>
      <c r="C6" s="2"/>
      <c r="D6" s="2" t="s">
        <v>16</v>
      </c>
      <c r="E6" s="2">
        <v>5</v>
      </c>
      <c r="F6" s="2" t="s">
        <v>10</v>
      </c>
      <c r="G6" t="s">
        <v>67</v>
      </c>
      <c r="H6" s="1">
        <f>부문별!I13</f>
        <v>-14783</v>
      </c>
      <c r="I6" s="1">
        <f>부문별!I39</f>
        <v>-19426</v>
      </c>
      <c r="J6" s="1">
        <f>부문별!I65</f>
        <v>-7634</v>
      </c>
      <c r="K6" s="1">
        <f>부문별!I91</f>
        <v>-6516</v>
      </c>
      <c r="L6" s="1">
        <f>부문별!I117</f>
        <v>-14</v>
      </c>
      <c r="N6" s="1"/>
    </row>
    <row r="7" spans="1:14" x14ac:dyDescent="0.6">
      <c r="A7" s="2"/>
      <c r="B7" s="2" t="s">
        <v>15</v>
      </c>
      <c r="C7" s="2"/>
      <c r="D7" s="2" t="s">
        <v>16</v>
      </c>
      <c r="E7" s="2">
        <v>6</v>
      </c>
      <c r="F7" s="2" t="s">
        <v>11</v>
      </c>
      <c r="G7" t="s">
        <v>67</v>
      </c>
      <c r="H7" s="1">
        <f>부문별!I25</f>
        <v>724057</v>
      </c>
      <c r="I7" s="1">
        <f>부문별!I51</f>
        <v>951273</v>
      </c>
      <c r="J7" s="1">
        <f>부문별!I77</f>
        <v>226685</v>
      </c>
      <c r="K7" s="1">
        <f>부문별!I103</f>
        <v>182058</v>
      </c>
      <c r="L7" s="1">
        <f>부문별!I129</f>
        <v>654</v>
      </c>
      <c r="N7" s="1"/>
    </row>
    <row r="8" spans="1:14" x14ac:dyDescent="0.6">
      <c r="A8" s="2"/>
      <c r="B8" s="2"/>
      <c r="C8" s="2"/>
      <c r="D8" s="2"/>
      <c r="H8" s="1"/>
    </row>
    <row r="9" spans="1:14" x14ac:dyDescent="0.6">
      <c r="A9" s="2"/>
      <c r="B9" s="2"/>
      <c r="C9" s="2"/>
      <c r="D9" s="2"/>
      <c r="H9" s="1"/>
    </row>
    <row r="10" spans="1:14" x14ac:dyDescent="0.6">
      <c r="A10" s="2"/>
      <c r="B10" s="2"/>
      <c r="C10" s="2"/>
      <c r="D10" s="2"/>
      <c r="H10" s="1"/>
    </row>
    <row r="11" spans="1:14" x14ac:dyDescent="0.6">
      <c r="A11" s="2"/>
      <c r="B11" s="2"/>
      <c r="C11" s="2"/>
      <c r="D11" s="2"/>
      <c r="H11" s="1"/>
    </row>
    <row r="12" spans="1:14" x14ac:dyDescent="0.6">
      <c r="A12" s="2"/>
      <c r="B12" s="2"/>
      <c r="C12" s="2"/>
      <c r="D12" s="2"/>
      <c r="H12" s="1"/>
    </row>
    <row r="13" spans="1:14" x14ac:dyDescent="0.6">
      <c r="A13" s="2"/>
      <c r="B13" s="2"/>
      <c r="C13" s="2"/>
      <c r="D13" s="2"/>
      <c r="H13" s="1"/>
    </row>
    <row r="14" spans="1:14" x14ac:dyDescent="0.6">
      <c r="A14" s="2"/>
      <c r="B14" s="2"/>
      <c r="C14" s="2"/>
      <c r="D14" s="2"/>
      <c r="H14" s="1"/>
    </row>
    <row r="15" spans="1:14" x14ac:dyDescent="0.6">
      <c r="A15" s="2"/>
      <c r="B15" s="2"/>
      <c r="C15" s="2"/>
      <c r="D15" s="2"/>
      <c r="H15" s="1"/>
    </row>
    <row r="16" spans="1:14" x14ac:dyDescent="0.6">
      <c r="A16" s="2"/>
      <c r="B16" s="2"/>
      <c r="C16" s="2"/>
      <c r="D16" s="2"/>
      <c r="H16" s="1"/>
    </row>
    <row r="17" spans="1:10" x14ac:dyDescent="0.6">
      <c r="A17" s="2"/>
      <c r="B17" s="2"/>
      <c r="C17" s="2"/>
      <c r="D17" s="2"/>
      <c r="H17" s="1"/>
    </row>
    <row r="18" spans="1:10" x14ac:dyDescent="0.6">
      <c r="A18" s="2"/>
      <c r="B18" s="2"/>
      <c r="C18" s="2"/>
      <c r="D18" s="2"/>
      <c r="H18" s="1"/>
    </row>
    <row r="19" spans="1:10" x14ac:dyDescent="0.6">
      <c r="H19" s="1"/>
    </row>
    <row r="21" spans="1:10" x14ac:dyDescent="0.6">
      <c r="H21" s="1"/>
    </row>
    <row r="22" spans="1:10" x14ac:dyDescent="0.6">
      <c r="H22" s="1"/>
    </row>
    <row r="23" spans="1:10" x14ac:dyDescent="0.6">
      <c r="H23" s="1"/>
    </row>
    <row r="24" spans="1:10" x14ac:dyDescent="0.6">
      <c r="H24" s="1"/>
      <c r="J24" s="1" t="str">
        <f>부문별!I83</f>
        <v>소계</v>
      </c>
    </row>
    <row r="25" spans="1:10" x14ac:dyDescent="0.6">
      <c r="H25" s="1"/>
      <c r="J25" s="1">
        <f>부문별!I86</f>
        <v>168607</v>
      </c>
    </row>
    <row r="26" spans="1:10" x14ac:dyDescent="0.6">
      <c r="H26" s="1"/>
      <c r="J26" s="1" t="str">
        <f>부문별!I94</f>
        <v>-</v>
      </c>
    </row>
    <row r="27" spans="1:10" x14ac:dyDescent="0.6">
      <c r="J27" s="1" t="e">
        <f>K3-K2-J26-J25-J24</f>
        <v>#VALUE!</v>
      </c>
    </row>
    <row r="34" spans="8:9" x14ac:dyDescent="0.6">
      <c r="H34" s="1"/>
      <c r="I3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J129"/>
  <sheetViews>
    <sheetView topLeftCell="A97" zoomScale="51" workbookViewId="0">
      <selection activeCell="F87" sqref="F87"/>
    </sheetView>
  </sheetViews>
  <sheetFormatPr defaultRowHeight="16.899999999999999" x14ac:dyDescent="0.6"/>
  <sheetData>
    <row r="1" spans="1:10" ht="67.5" customHeight="1" x14ac:dyDescent="0.6">
      <c r="A1" s="3" t="s">
        <v>30</v>
      </c>
    </row>
    <row r="2" spans="1:10" ht="54" customHeight="1" x14ac:dyDescent="0.6">
      <c r="A2" s="13" t="s">
        <v>31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6">
      <c r="A3" s="16" t="s">
        <v>32</v>
      </c>
      <c r="B3" s="17"/>
      <c r="C3" s="18"/>
      <c r="D3" s="25" t="s">
        <v>33</v>
      </c>
      <c r="E3" s="26"/>
      <c r="F3" s="26"/>
      <c r="G3" s="26"/>
      <c r="H3" s="26"/>
      <c r="I3" s="27"/>
      <c r="J3" s="28" t="s">
        <v>34</v>
      </c>
    </row>
    <row r="4" spans="1:10" ht="22.5" x14ac:dyDescent="0.6">
      <c r="A4" s="19"/>
      <c r="B4" s="20"/>
      <c r="C4" s="21"/>
      <c r="D4" s="4" t="s">
        <v>35</v>
      </c>
      <c r="E4" s="4" t="s">
        <v>37</v>
      </c>
      <c r="F4" s="25" t="s">
        <v>12</v>
      </c>
      <c r="G4" s="26"/>
      <c r="H4" s="26"/>
      <c r="I4" s="27"/>
      <c r="J4" s="29"/>
    </row>
    <row r="5" spans="1:10" ht="50.65" customHeight="1" x14ac:dyDescent="0.6">
      <c r="A5" s="19"/>
      <c r="B5" s="20"/>
      <c r="C5" s="21"/>
      <c r="D5" s="5" t="s">
        <v>36</v>
      </c>
      <c r="E5" s="5" t="s">
        <v>38</v>
      </c>
      <c r="F5" s="31" t="s">
        <v>39</v>
      </c>
      <c r="G5" s="31" t="s">
        <v>40</v>
      </c>
      <c r="H5" s="4" t="s">
        <v>41</v>
      </c>
      <c r="I5" s="31" t="s">
        <v>42</v>
      </c>
      <c r="J5" s="29"/>
    </row>
    <row r="6" spans="1:10" x14ac:dyDescent="0.6">
      <c r="A6" s="22"/>
      <c r="B6" s="23"/>
      <c r="C6" s="24"/>
      <c r="D6" s="6"/>
      <c r="E6" s="6"/>
      <c r="F6" s="32"/>
      <c r="G6" s="32"/>
      <c r="H6" s="7" t="s">
        <v>14</v>
      </c>
      <c r="I6" s="32"/>
      <c r="J6" s="30"/>
    </row>
    <row r="7" spans="1:10" ht="22.5" x14ac:dyDescent="0.6">
      <c r="A7" s="33" t="s">
        <v>43</v>
      </c>
      <c r="B7" s="36" t="s">
        <v>44</v>
      </c>
      <c r="C7" s="8" t="s">
        <v>45</v>
      </c>
      <c r="D7" s="9" t="s">
        <v>46</v>
      </c>
      <c r="E7" s="9" t="s">
        <v>46</v>
      </c>
      <c r="F7" s="9" t="s">
        <v>46</v>
      </c>
      <c r="G7" s="9" t="s">
        <v>46</v>
      </c>
      <c r="H7" s="9" t="s">
        <v>46</v>
      </c>
      <c r="I7" s="9" t="s">
        <v>46</v>
      </c>
      <c r="J7" s="11" t="s">
        <v>46</v>
      </c>
    </row>
    <row r="8" spans="1:10" ht="22.5" x14ac:dyDescent="0.6">
      <c r="A8" s="34"/>
      <c r="B8" s="37"/>
      <c r="C8" s="8" t="s">
        <v>47</v>
      </c>
      <c r="D8" s="10">
        <v>5432747</v>
      </c>
      <c r="E8" s="10">
        <v>165905</v>
      </c>
      <c r="F8" s="10">
        <v>254672</v>
      </c>
      <c r="G8" s="10">
        <v>332140</v>
      </c>
      <c r="H8" s="10">
        <v>199128</v>
      </c>
      <c r="I8" s="10">
        <v>785941</v>
      </c>
      <c r="J8" s="12">
        <v>6384593</v>
      </c>
    </row>
    <row r="9" spans="1:10" x14ac:dyDescent="0.6">
      <c r="A9" s="34"/>
      <c r="B9" s="38"/>
      <c r="C9" s="8" t="s">
        <v>48</v>
      </c>
      <c r="D9" s="10">
        <v>5432747</v>
      </c>
      <c r="E9" s="10">
        <v>165905</v>
      </c>
      <c r="F9" s="10">
        <v>254672</v>
      </c>
      <c r="G9" s="10">
        <v>332140</v>
      </c>
      <c r="H9" s="10">
        <v>199128</v>
      </c>
      <c r="I9" s="10">
        <v>785941</v>
      </c>
      <c r="J9" s="12">
        <v>6384593</v>
      </c>
    </row>
    <row r="10" spans="1:10" ht="33.75" x14ac:dyDescent="0.6">
      <c r="A10" s="34"/>
      <c r="B10" s="36" t="s">
        <v>49</v>
      </c>
      <c r="C10" s="8" t="s">
        <v>17</v>
      </c>
      <c r="D10" s="10">
        <v>63014</v>
      </c>
      <c r="E10" s="9">
        <v>-696</v>
      </c>
      <c r="F10" s="9">
        <v>-606</v>
      </c>
      <c r="G10" s="10">
        <v>-64773</v>
      </c>
      <c r="H10" s="10">
        <v>3060</v>
      </c>
      <c r="I10" s="10">
        <v>-62318</v>
      </c>
      <c r="J10" s="11" t="s">
        <v>46</v>
      </c>
    </row>
    <row r="11" spans="1:10" ht="27" customHeight="1" x14ac:dyDescent="0.6">
      <c r="A11" s="34"/>
      <c r="B11" s="37"/>
      <c r="C11" s="8" t="s">
        <v>18</v>
      </c>
      <c r="D11" s="10">
        <v>3392</v>
      </c>
      <c r="E11" s="9">
        <v>-37</v>
      </c>
      <c r="F11" s="9" t="s">
        <v>46</v>
      </c>
      <c r="G11" s="9" t="s">
        <v>46</v>
      </c>
      <c r="H11" s="9" t="s">
        <v>46</v>
      </c>
      <c r="I11" s="9" t="s">
        <v>46</v>
      </c>
      <c r="J11" s="12">
        <v>3355</v>
      </c>
    </row>
    <row r="12" spans="1:10" ht="27" customHeight="1" x14ac:dyDescent="0.6">
      <c r="A12" s="34"/>
      <c r="B12" s="38"/>
      <c r="C12" s="8" t="s">
        <v>19</v>
      </c>
      <c r="D12" s="10">
        <v>-11184</v>
      </c>
      <c r="E12" s="10">
        <v>1065</v>
      </c>
      <c r="F12" s="9" t="s">
        <v>46</v>
      </c>
      <c r="G12" s="9" t="s">
        <v>46</v>
      </c>
      <c r="H12" s="10">
        <v>10269</v>
      </c>
      <c r="I12" s="10">
        <v>10269</v>
      </c>
      <c r="J12" s="11">
        <v>150</v>
      </c>
    </row>
    <row r="13" spans="1:10" ht="27" customHeight="1" x14ac:dyDescent="0.6">
      <c r="A13" s="34"/>
      <c r="B13" s="36" t="s">
        <v>50</v>
      </c>
      <c r="C13" s="8" t="s">
        <v>51</v>
      </c>
      <c r="D13" s="9" t="s">
        <v>46</v>
      </c>
      <c r="E13" s="9" t="s">
        <v>46</v>
      </c>
      <c r="F13" s="10">
        <v>-4575</v>
      </c>
      <c r="G13" s="10">
        <v>-5258</v>
      </c>
      <c r="H13" s="10">
        <v>-4949</v>
      </c>
      <c r="I13" s="10">
        <v>-14783</v>
      </c>
      <c r="J13" s="12">
        <v>-14783</v>
      </c>
    </row>
    <row r="14" spans="1:10" ht="22.5" x14ac:dyDescent="0.6">
      <c r="A14" s="34"/>
      <c r="B14" s="37"/>
      <c r="C14" s="8" t="s">
        <v>20</v>
      </c>
      <c r="D14" s="9" t="s">
        <v>46</v>
      </c>
      <c r="E14" s="10">
        <v>-3777</v>
      </c>
      <c r="F14" s="9" t="s">
        <v>46</v>
      </c>
      <c r="G14" s="9" t="s">
        <v>46</v>
      </c>
      <c r="H14" s="9" t="s">
        <v>46</v>
      </c>
      <c r="I14" s="9" t="s">
        <v>46</v>
      </c>
      <c r="J14" s="12">
        <v>-3777</v>
      </c>
    </row>
    <row r="15" spans="1:10" ht="54" customHeight="1" x14ac:dyDescent="0.6">
      <c r="A15" s="34"/>
      <c r="B15" s="38"/>
      <c r="C15" s="8" t="s">
        <v>21</v>
      </c>
      <c r="D15" s="10">
        <v>-4504</v>
      </c>
      <c r="E15" s="9" t="s">
        <v>46</v>
      </c>
      <c r="F15" s="9" t="s">
        <v>46</v>
      </c>
      <c r="G15" s="9" t="s">
        <v>46</v>
      </c>
      <c r="H15" s="9" t="s">
        <v>46</v>
      </c>
      <c r="I15" s="9" t="s">
        <v>46</v>
      </c>
      <c r="J15" s="12">
        <v>-4504</v>
      </c>
    </row>
    <row r="16" spans="1:10" ht="45" x14ac:dyDescent="0.6">
      <c r="A16" s="34"/>
      <c r="B16" s="8" t="s">
        <v>52</v>
      </c>
      <c r="C16" s="8" t="s">
        <v>53</v>
      </c>
      <c r="D16" s="10">
        <v>1777</v>
      </c>
      <c r="E16" s="9">
        <v>-578</v>
      </c>
      <c r="F16" s="9" t="s">
        <v>46</v>
      </c>
      <c r="G16" s="9" t="s">
        <v>46</v>
      </c>
      <c r="H16" s="9" t="s">
        <v>46</v>
      </c>
      <c r="I16" s="9" t="s">
        <v>46</v>
      </c>
      <c r="J16" s="12">
        <v>1199</v>
      </c>
    </row>
    <row r="17" spans="1:10" ht="27" customHeight="1" x14ac:dyDescent="0.6">
      <c r="A17" s="34"/>
      <c r="B17" s="36" t="s">
        <v>54</v>
      </c>
      <c r="C17" s="8" t="s">
        <v>22</v>
      </c>
      <c r="D17" s="10">
        <v>311028</v>
      </c>
      <c r="E17" s="9" t="s">
        <v>46</v>
      </c>
      <c r="F17" s="9" t="s">
        <v>46</v>
      </c>
      <c r="G17" s="9" t="s">
        <v>46</v>
      </c>
      <c r="H17" s="9" t="s">
        <v>46</v>
      </c>
      <c r="I17" s="9" t="s">
        <v>46</v>
      </c>
      <c r="J17" s="12">
        <v>311028</v>
      </c>
    </row>
    <row r="18" spans="1:10" ht="54" customHeight="1" x14ac:dyDescent="0.6">
      <c r="A18" s="34"/>
      <c r="B18" s="37"/>
      <c r="C18" s="8" t="s">
        <v>23</v>
      </c>
      <c r="D18" s="10">
        <v>-39203</v>
      </c>
      <c r="E18" s="9" t="s">
        <v>46</v>
      </c>
      <c r="F18" s="9" t="s">
        <v>46</v>
      </c>
      <c r="G18" s="9" t="s">
        <v>46</v>
      </c>
      <c r="H18" s="9" t="s">
        <v>46</v>
      </c>
      <c r="I18" s="9" t="s">
        <v>46</v>
      </c>
      <c r="J18" s="12">
        <v>-39203</v>
      </c>
    </row>
    <row r="19" spans="1:10" ht="56.25" x14ac:dyDescent="0.6">
      <c r="A19" s="34"/>
      <c r="B19" s="38"/>
      <c r="C19" s="8" t="s">
        <v>55</v>
      </c>
      <c r="D19" s="10">
        <v>-192025</v>
      </c>
      <c r="E19" s="9" t="s">
        <v>46</v>
      </c>
      <c r="F19" s="9" t="s">
        <v>46</v>
      </c>
      <c r="G19" s="9" t="s">
        <v>46</v>
      </c>
      <c r="H19" s="9" t="s">
        <v>46</v>
      </c>
      <c r="I19" s="9" t="s">
        <v>46</v>
      </c>
      <c r="J19" s="12">
        <v>-192025</v>
      </c>
    </row>
    <row r="20" spans="1:10" ht="33.75" x14ac:dyDescent="0.6">
      <c r="A20" s="34"/>
      <c r="B20" s="36" t="s">
        <v>56</v>
      </c>
      <c r="C20" s="8" t="s">
        <v>24</v>
      </c>
      <c r="D20" s="10">
        <v>20546</v>
      </c>
      <c r="E20" s="10">
        <v>1091</v>
      </c>
      <c r="F20" s="10">
        <v>1078</v>
      </c>
      <c r="G20" s="10">
        <v>2058</v>
      </c>
      <c r="H20" s="10">
        <v>1812</v>
      </c>
      <c r="I20" s="10">
        <v>4948</v>
      </c>
      <c r="J20" s="12">
        <v>26585</v>
      </c>
    </row>
    <row r="21" spans="1:10" ht="33.75" x14ac:dyDescent="0.6">
      <c r="A21" s="34"/>
      <c r="B21" s="38"/>
      <c r="C21" s="8" t="s">
        <v>25</v>
      </c>
      <c r="D21" s="10">
        <v>291461</v>
      </c>
      <c r="E21" s="10">
        <v>-6540</v>
      </c>
      <c r="F21" s="9" t="s">
        <v>46</v>
      </c>
      <c r="G21" s="9" t="s">
        <v>46</v>
      </c>
      <c r="H21" s="9" t="s">
        <v>46</v>
      </c>
      <c r="I21" s="9" t="s">
        <v>46</v>
      </c>
      <c r="J21" s="12">
        <v>284921</v>
      </c>
    </row>
    <row r="22" spans="1:10" ht="54" customHeight="1" x14ac:dyDescent="0.6">
      <c r="A22" s="34"/>
      <c r="B22" s="39" t="s">
        <v>26</v>
      </c>
      <c r="C22" s="40"/>
      <c r="D22" s="10">
        <v>-5632</v>
      </c>
      <c r="E22" s="9" t="s">
        <v>46</v>
      </c>
      <c r="F22" s="9" t="s">
        <v>46</v>
      </c>
      <c r="G22" s="9" t="s">
        <v>46</v>
      </c>
      <c r="H22" s="9" t="s">
        <v>46</v>
      </c>
      <c r="I22" s="9" t="s">
        <v>46</v>
      </c>
      <c r="J22" s="12">
        <v>-5632</v>
      </c>
    </row>
    <row r="23" spans="1:10" ht="22.5" x14ac:dyDescent="0.6">
      <c r="A23" s="34"/>
      <c r="B23" s="36" t="s">
        <v>57</v>
      </c>
      <c r="C23" s="8" t="s">
        <v>45</v>
      </c>
      <c r="D23" s="9" t="s">
        <v>46</v>
      </c>
      <c r="E23" s="9" t="s">
        <v>46</v>
      </c>
      <c r="F23" s="9" t="s">
        <v>46</v>
      </c>
      <c r="G23" s="9" t="s">
        <v>46</v>
      </c>
      <c r="H23" s="9" t="s">
        <v>46</v>
      </c>
      <c r="I23" s="9" t="s">
        <v>46</v>
      </c>
      <c r="J23" s="11" t="s">
        <v>46</v>
      </c>
    </row>
    <row r="24" spans="1:10" ht="22.5" x14ac:dyDescent="0.6">
      <c r="A24" s="34"/>
      <c r="B24" s="37"/>
      <c r="C24" s="8" t="s">
        <v>47</v>
      </c>
      <c r="D24" s="10">
        <v>5871417</v>
      </c>
      <c r="E24" s="10">
        <v>156433</v>
      </c>
      <c r="F24" s="10">
        <v>250570</v>
      </c>
      <c r="G24" s="10">
        <v>264168</v>
      </c>
      <c r="H24" s="10">
        <v>209319</v>
      </c>
      <c r="I24" s="10">
        <v>724057</v>
      </c>
      <c r="J24" s="12">
        <v>6751907</v>
      </c>
    </row>
    <row r="25" spans="1:10" x14ac:dyDescent="0.6">
      <c r="A25" s="35"/>
      <c r="B25" s="38"/>
      <c r="C25" s="8" t="s">
        <v>58</v>
      </c>
      <c r="D25" s="10">
        <v>5871417</v>
      </c>
      <c r="E25" s="10">
        <v>156433</v>
      </c>
      <c r="F25" s="10">
        <v>250570</v>
      </c>
      <c r="G25" s="10">
        <v>264168</v>
      </c>
      <c r="H25" s="10">
        <v>209319</v>
      </c>
      <c r="I25" s="10">
        <v>724057</v>
      </c>
      <c r="J25" s="12">
        <v>6751907</v>
      </c>
    </row>
    <row r="26" spans="1:10" x14ac:dyDescent="0.6">
      <c r="A26" s="3"/>
    </row>
    <row r="27" spans="1:10" x14ac:dyDescent="0.6">
      <c r="A27" s="3" t="s">
        <v>60</v>
      </c>
    </row>
    <row r="28" spans="1:10" ht="67.5" customHeight="1" x14ac:dyDescent="0.6">
      <c r="A28" s="13" t="s">
        <v>31</v>
      </c>
      <c r="B28" s="14"/>
      <c r="C28" s="14"/>
      <c r="D28" s="14"/>
      <c r="E28" s="14"/>
      <c r="F28" s="14"/>
      <c r="G28" s="14"/>
      <c r="H28" s="14"/>
      <c r="I28" s="14"/>
      <c r="J28" s="15"/>
    </row>
    <row r="29" spans="1:10" ht="27" customHeight="1" x14ac:dyDescent="0.6">
      <c r="A29" s="16" t="s">
        <v>32</v>
      </c>
      <c r="B29" s="17"/>
      <c r="C29" s="18"/>
      <c r="D29" s="25" t="s">
        <v>33</v>
      </c>
      <c r="E29" s="26"/>
      <c r="F29" s="26"/>
      <c r="G29" s="26"/>
      <c r="H29" s="26"/>
      <c r="I29" s="27"/>
      <c r="J29" s="28" t="s">
        <v>34</v>
      </c>
    </row>
    <row r="30" spans="1:10" ht="22.5" x14ac:dyDescent="0.6">
      <c r="A30" s="19"/>
      <c r="B30" s="20"/>
      <c r="C30" s="21"/>
      <c r="D30" s="4" t="s">
        <v>35</v>
      </c>
      <c r="E30" s="4" t="s">
        <v>37</v>
      </c>
      <c r="F30" s="25" t="s">
        <v>12</v>
      </c>
      <c r="G30" s="26"/>
      <c r="H30" s="26"/>
      <c r="I30" s="27"/>
      <c r="J30" s="29"/>
    </row>
    <row r="31" spans="1:10" ht="50.65" customHeight="1" x14ac:dyDescent="0.6">
      <c r="A31" s="19"/>
      <c r="B31" s="20"/>
      <c r="C31" s="21"/>
      <c r="D31" s="5" t="s">
        <v>36</v>
      </c>
      <c r="E31" s="5" t="s">
        <v>38</v>
      </c>
      <c r="F31" s="31" t="s">
        <v>39</v>
      </c>
      <c r="G31" s="31" t="s">
        <v>40</v>
      </c>
      <c r="H31" s="4" t="s">
        <v>41</v>
      </c>
      <c r="I31" s="31" t="s">
        <v>42</v>
      </c>
      <c r="J31" s="29"/>
    </row>
    <row r="32" spans="1:10" x14ac:dyDescent="0.6">
      <c r="A32" s="22"/>
      <c r="B32" s="23"/>
      <c r="C32" s="24"/>
      <c r="D32" s="6"/>
      <c r="E32" s="6"/>
      <c r="F32" s="32"/>
      <c r="G32" s="32"/>
      <c r="H32" s="7" t="s">
        <v>14</v>
      </c>
      <c r="I32" s="32"/>
      <c r="J32" s="30"/>
    </row>
    <row r="33" spans="1:10" ht="22.5" x14ac:dyDescent="0.6">
      <c r="A33" s="33" t="s">
        <v>43</v>
      </c>
      <c r="B33" s="36" t="s">
        <v>44</v>
      </c>
      <c r="C33" s="8" t="s">
        <v>45</v>
      </c>
      <c r="D33" s="9" t="s">
        <v>46</v>
      </c>
      <c r="E33" s="9" t="s">
        <v>46</v>
      </c>
      <c r="F33" s="9" t="s">
        <v>46</v>
      </c>
      <c r="G33" s="9" t="s">
        <v>46</v>
      </c>
      <c r="H33" s="9" t="s">
        <v>46</v>
      </c>
      <c r="I33" s="9" t="s">
        <v>46</v>
      </c>
      <c r="J33" s="11" t="s">
        <v>46</v>
      </c>
    </row>
    <row r="34" spans="1:10" ht="27" customHeight="1" x14ac:dyDescent="0.6">
      <c r="A34" s="34"/>
      <c r="B34" s="37"/>
      <c r="C34" s="8" t="s">
        <v>47</v>
      </c>
      <c r="D34" s="10">
        <v>2726072</v>
      </c>
      <c r="E34" s="10">
        <v>141890</v>
      </c>
      <c r="F34" s="10">
        <v>141225</v>
      </c>
      <c r="G34" s="10">
        <v>267009</v>
      </c>
      <c r="H34" s="10">
        <v>475453</v>
      </c>
      <c r="I34" s="10">
        <v>883688</v>
      </c>
      <c r="J34" s="12">
        <v>3751650</v>
      </c>
    </row>
    <row r="35" spans="1:10" ht="40.5" customHeight="1" x14ac:dyDescent="0.6">
      <c r="A35" s="34"/>
      <c r="B35" s="38"/>
      <c r="C35" s="8" t="s">
        <v>48</v>
      </c>
      <c r="D35" s="10">
        <v>2726072</v>
      </c>
      <c r="E35" s="10">
        <v>141890</v>
      </c>
      <c r="F35" s="10">
        <v>141225</v>
      </c>
      <c r="G35" s="10">
        <v>267009</v>
      </c>
      <c r="H35" s="10">
        <v>475453</v>
      </c>
      <c r="I35" s="10">
        <v>883688</v>
      </c>
      <c r="J35" s="12">
        <v>3751650</v>
      </c>
    </row>
    <row r="36" spans="1:10" ht="40.5" customHeight="1" x14ac:dyDescent="0.6">
      <c r="A36" s="34"/>
      <c r="B36" s="36" t="s">
        <v>59</v>
      </c>
      <c r="C36" s="8" t="s">
        <v>17</v>
      </c>
      <c r="D36" s="10">
        <v>37258</v>
      </c>
      <c r="E36" s="9">
        <v>-872</v>
      </c>
      <c r="F36" s="10">
        <v>-4719</v>
      </c>
      <c r="G36" s="10">
        <v>10297</v>
      </c>
      <c r="H36" s="10">
        <v>-41964</v>
      </c>
      <c r="I36" s="10">
        <v>-36386</v>
      </c>
      <c r="J36" s="11" t="s">
        <v>46</v>
      </c>
    </row>
    <row r="37" spans="1:10" ht="54" customHeight="1" x14ac:dyDescent="0.6">
      <c r="A37" s="34"/>
      <c r="B37" s="37"/>
      <c r="C37" s="8" t="s">
        <v>18</v>
      </c>
      <c r="D37" s="10">
        <v>-5727</v>
      </c>
      <c r="E37" s="9">
        <v>134</v>
      </c>
      <c r="F37" s="9" t="s">
        <v>46</v>
      </c>
      <c r="G37" s="9" t="s">
        <v>46</v>
      </c>
      <c r="H37" s="9" t="s">
        <v>46</v>
      </c>
      <c r="I37" s="9" t="s">
        <v>46</v>
      </c>
      <c r="J37" s="12">
        <v>-5593</v>
      </c>
    </row>
    <row r="38" spans="1:10" ht="22.5" x14ac:dyDescent="0.6">
      <c r="A38" s="34"/>
      <c r="B38" s="38"/>
      <c r="C38" s="8" t="s">
        <v>19</v>
      </c>
      <c r="D38" s="10">
        <v>-128639</v>
      </c>
      <c r="E38" s="10">
        <v>14053</v>
      </c>
      <c r="F38" s="9" t="s">
        <v>46</v>
      </c>
      <c r="G38" s="9" t="s">
        <v>46</v>
      </c>
      <c r="H38" s="10">
        <v>115167</v>
      </c>
      <c r="I38" s="10">
        <v>115167</v>
      </c>
      <c r="J38" s="11">
        <v>581</v>
      </c>
    </row>
    <row r="39" spans="1:10" ht="27" customHeight="1" x14ac:dyDescent="0.6">
      <c r="A39" s="34"/>
      <c r="B39" s="36" t="s">
        <v>50</v>
      </c>
      <c r="C39" s="8" t="s">
        <v>51</v>
      </c>
      <c r="D39" s="9" t="s">
        <v>46</v>
      </c>
      <c r="E39" s="9" t="s">
        <v>46</v>
      </c>
      <c r="F39" s="10">
        <v>-2638</v>
      </c>
      <c r="G39" s="10">
        <v>-5780</v>
      </c>
      <c r="H39" s="10">
        <v>-11008</v>
      </c>
      <c r="I39" s="10">
        <v>-19426</v>
      </c>
      <c r="J39" s="12">
        <v>-19426</v>
      </c>
    </row>
    <row r="40" spans="1:10" ht="22.5" x14ac:dyDescent="0.6">
      <c r="A40" s="34"/>
      <c r="B40" s="37"/>
      <c r="C40" s="8" t="s">
        <v>20</v>
      </c>
      <c r="D40" s="9" t="s">
        <v>46</v>
      </c>
      <c r="E40" s="10">
        <v>-2816</v>
      </c>
      <c r="F40" s="9" t="s">
        <v>46</v>
      </c>
      <c r="G40" s="9" t="s">
        <v>46</v>
      </c>
      <c r="H40" s="9" t="s">
        <v>46</v>
      </c>
      <c r="I40" s="9" t="s">
        <v>46</v>
      </c>
      <c r="J40" s="12">
        <v>-2816</v>
      </c>
    </row>
    <row r="41" spans="1:10" x14ac:dyDescent="0.6">
      <c r="A41" s="34"/>
      <c r="B41" s="38"/>
      <c r="C41" s="8" t="s">
        <v>21</v>
      </c>
      <c r="D41" s="10">
        <v>-3370</v>
      </c>
      <c r="E41" s="9" t="s">
        <v>46</v>
      </c>
      <c r="F41" s="9" t="s">
        <v>46</v>
      </c>
      <c r="G41" s="9" t="s">
        <v>46</v>
      </c>
      <c r="H41" s="9" t="s">
        <v>46</v>
      </c>
      <c r="I41" s="9" t="s">
        <v>46</v>
      </c>
      <c r="J41" s="12">
        <v>-3370</v>
      </c>
    </row>
    <row r="42" spans="1:10" ht="67.5" customHeight="1" x14ac:dyDescent="0.6">
      <c r="A42" s="34"/>
      <c r="B42" s="8" t="s">
        <v>52</v>
      </c>
      <c r="C42" s="8" t="s">
        <v>61</v>
      </c>
      <c r="D42" s="10">
        <v>4768</v>
      </c>
      <c r="E42" s="9">
        <v>-570</v>
      </c>
      <c r="F42" s="9" t="s">
        <v>46</v>
      </c>
      <c r="G42" s="9" t="s">
        <v>46</v>
      </c>
      <c r="H42" s="9" t="s">
        <v>46</v>
      </c>
      <c r="I42" s="9" t="s">
        <v>46</v>
      </c>
      <c r="J42" s="12">
        <v>4198</v>
      </c>
    </row>
    <row r="43" spans="1:10" ht="54" customHeight="1" x14ac:dyDescent="0.6">
      <c r="A43" s="34"/>
      <c r="B43" s="36" t="s">
        <v>54</v>
      </c>
      <c r="C43" s="8" t="s">
        <v>22</v>
      </c>
      <c r="D43" s="10">
        <v>136077</v>
      </c>
      <c r="E43" s="9" t="s">
        <v>46</v>
      </c>
      <c r="F43" s="9" t="s">
        <v>46</v>
      </c>
      <c r="G43" s="9" t="s">
        <v>46</v>
      </c>
      <c r="H43" s="9" t="s">
        <v>46</v>
      </c>
      <c r="I43" s="9" t="s">
        <v>46</v>
      </c>
      <c r="J43" s="12">
        <v>136077</v>
      </c>
    </row>
    <row r="44" spans="1:10" ht="27" customHeight="1" x14ac:dyDescent="0.6">
      <c r="A44" s="34"/>
      <c r="B44" s="37"/>
      <c r="C44" s="8" t="s">
        <v>23</v>
      </c>
      <c r="D44" s="10">
        <v>-66112</v>
      </c>
      <c r="E44" s="9" t="s">
        <v>46</v>
      </c>
      <c r="F44" s="9" t="s">
        <v>46</v>
      </c>
      <c r="G44" s="9" t="s">
        <v>46</v>
      </c>
      <c r="H44" s="9" t="s">
        <v>46</v>
      </c>
      <c r="I44" s="9" t="s">
        <v>46</v>
      </c>
      <c r="J44" s="12">
        <v>-66112</v>
      </c>
    </row>
    <row r="45" spans="1:10" ht="56.25" x14ac:dyDescent="0.6">
      <c r="A45" s="34"/>
      <c r="B45" s="38"/>
      <c r="C45" s="8" t="s">
        <v>55</v>
      </c>
      <c r="D45" s="10">
        <v>-106645</v>
      </c>
      <c r="E45" s="9" t="s">
        <v>46</v>
      </c>
      <c r="F45" s="9" t="s">
        <v>46</v>
      </c>
      <c r="G45" s="9" t="s">
        <v>46</v>
      </c>
      <c r="H45" s="9" t="s">
        <v>46</v>
      </c>
      <c r="I45" s="9" t="s">
        <v>46</v>
      </c>
      <c r="J45" s="12">
        <v>-106645</v>
      </c>
    </row>
    <row r="46" spans="1:10" ht="33.75" x14ac:dyDescent="0.6">
      <c r="A46" s="34"/>
      <c r="B46" s="36" t="s">
        <v>56</v>
      </c>
      <c r="C46" s="8" t="s">
        <v>24</v>
      </c>
      <c r="D46" s="10">
        <v>16962</v>
      </c>
      <c r="E46" s="10">
        <v>1167</v>
      </c>
      <c r="F46" s="9">
        <v>968</v>
      </c>
      <c r="G46" s="10">
        <v>1900</v>
      </c>
      <c r="H46" s="10">
        <v>5362</v>
      </c>
      <c r="I46" s="10">
        <v>8230</v>
      </c>
      <c r="J46" s="12">
        <v>26359</v>
      </c>
    </row>
    <row r="47" spans="1:10" ht="33.75" x14ac:dyDescent="0.6">
      <c r="A47" s="34"/>
      <c r="B47" s="38"/>
      <c r="C47" s="8" t="s">
        <v>25</v>
      </c>
      <c r="D47" s="10">
        <v>145369</v>
      </c>
      <c r="E47" s="10">
        <v>-1054</v>
      </c>
      <c r="F47" s="9" t="s">
        <v>46</v>
      </c>
      <c r="G47" s="9" t="s">
        <v>46</v>
      </c>
      <c r="H47" s="9" t="s">
        <v>46</v>
      </c>
      <c r="I47" s="9" t="s">
        <v>46</v>
      </c>
      <c r="J47" s="12">
        <v>144315</v>
      </c>
    </row>
    <row r="48" spans="1:10" x14ac:dyDescent="0.6">
      <c r="A48" s="34"/>
      <c r="B48" s="39" t="s">
        <v>26</v>
      </c>
      <c r="C48" s="40"/>
      <c r="D48" s="9">
        <v>69</v>
      </c>
      <c r="E48" s="9" t="s">
        <v>46</v>
      </c>
      <c r="F48" s="9" t="s">
        <v>46</v>
      </c>
      <c r="G48" s="9" t="s">
        <v>46</v>
      </c>
      <c r="H48" s="9" t="s">
        <v>46</v>
      </c>
      <c r="I48" s="9" t="s">
        <v>46</v>
      </c>
      <c r="J48" s="11">
        <v>69</v>
      </c>
    </row>
    <row r="49" spans="1:10" ht="22.5" x14ac:dyDescent="0.6">
      <c r="A49" s="34"/>
      <c r="B49" s="36" t="s">
        <v>57</v>
      </c>
      <c r="C49" s="8" t="s">
        <v>45</v>
      </c>
      <c r="D49" s="9" t="s">
        <v>46</v>
      </c>
      <c r="E49" s="9" t="s">
        <v>46</v>
      </c>
      <c r="F49" s="9" t="s">
        <v>46</v>
      </c>
      <c r="G49" s="9" t="s">
        <v>46</v>
      </c>
      <c r="H49" s="9" t="s">
        <v>46</v>
      </c>
      <c r="I49" s="9" t="s">
        <v>46</v>
      </c>
      <c r="J49" s="11" t="s">
        <v>46</v>
      </c>
    </row>
    <row r="50" spans="1:10" ht="22.5" x14ac:dyDescent="0.6">
      <c r="A50" s="34"/>
      <c r="B50" s="37"/>
      <c r="C50" s="8" t="s">
        <v>47</v>
      </c>
      <c r="D50" s="10">
        <v>2756082</v>
      </c>
      <c r="E50" s="10">
        <v>151932</v>
      </c>
      <c r="F50" s="10">
        <v>134836</v>
      </c>
      <c r="G50" s="10">
        <v>273426</v>
      </c>
      <c r="H50" s="10">
        <v>543011</v>
      </c>
      <c r="I50" s="10">
        <v>951273</v>
      </c>
      <c r="J50" s="12">
        <v>3859287</v>
      </c>
    </row>
    <row r="51" spans="1:10" x14ac:dyDescent="0.6">
      <c r="A51" s="35"/>
      <c r="B51" s="38"/>
      <c r="C51" s="8" t="s">
        <v>58</v>
      </c>
      <c r="D51" s="10">
        <v>2756082</v>
      </c>
      <c r="E51" s="10">
        <v>151932</v>
      </c>
      <c r="F51" s="10">
        <v>134836</v>
      </c>
      <c r="G51" s="10">
        <v>273426</v>
      </c>
      <c r="H51" s="10">
        <v>543011</v>
      </c>
      <c r="I51" s="10">
        <v>951273</v>
      </c>
      <c r="J51" s="12">
        <v>3859287</v>
      </c>
    </row>
    <row r="53" spans="1:10" x14ac:dyDescent="0.6">
      <c r="A53" s="3" t="s">
        <v>62</v>
      </c>
    </row>
    <row r="54" spans="1:10" x14ac:dyDescent="0.6">
      <c r="A54" s="13" t="s">
        <v>31</v>
      </c>
      <c r="B54" s="14"/>
      <c r="C54" s="14"/>
      <c r="D54" s="14"/>
      <c r="E54" s="14"/>
      <c r="F54" s="14"/>
      <c r="G54" s="14"/>
      <c r="H54" s="14"/>
      <c r="I54" s="14"/>
      <c r="J54" s="15"/>
    </row>
    <row r="55" spans="1:10" x14ac:dyDescent="0.6">
      <c r="A55" s="16" t="s">
        <v>32</v>
      </c>
      <c r="B55" s="17"/>
      <c r="C55" s="18"/>
      <c r="D55" s="25" t="s">
        <v>33</v>
      </c>
      <c r="E55" s="26"/>
      <c r="F55" s="26"/>
      <c r="G55" s="26"/>
      <c r="H55" s="26"/>
      <c r="I55" s="27"/>
      <c r="J55" s="28" t="s">
        <v>34</v>
      </c>
    </row>
    <row r="56" spans="1:10" ht="22.5" x14ac:dyDescent="0.6">
      <c r="A56" s="19"/>
      <c r="B56" s="20"/>
      <c r="C56" s="21"/>
      <c r="D56" s="4" t="s">
        <v>35</v>
      </c>
      <c r="E56" s="4" t="s">
        <v>37</v>
      </c>
      <c r="F56" s="25" t="s">
        <v>12</v>
      </c>
      <c r="G56" s="26"/>
      <c r="H56" s="26"/>
      <c r="I56" s="27"/>
      <c r="J56" s="29"/>
    </row>
    <row r="57" spans="1:10" ht="33.75" customHeight="1" x14ac:dyDescent="0.6">
      <c r="A57" s="19"/>
      <c r="B57" s="20"/>
      <c r="C57" s="21"/>
      <c r="D57" s="5" t="s">
        <v>36</v>
      </c>
      <c r="E57" s="5" t="s">
        <v>38</v>
      </c>
      <c r="F57" s="4" t="s">
        <v>63</v>
      </c>
      <c r="G57" s="31" t="s">
        <v>40</v>
      </c>
      <c r="H57" s="4" t="s">
        <v>41</v>
      </c>
      <c r="I57" s="31" t="s">
        <v>42</v>
      </c>
      <c r="J57" s="29"/>
    </row>
    <row r="58" spans="1:10" ht="33.75" x14ac:dyDescent="0.6">
      <c r="A58" s="22"/>
      <c r="B58" s="23"/>
      <c r="C58" s="24"/>
      <c r="D58" s="6"/>
      <c r="E58" s="6"/>
      <c r="F58" s="7" t="s">
        <v>64</v>
      </c>
      <c r="G58" s="32"/>
      <c r="H58" s="7" t="s">
        <v>14</v>
      </c>
      <c r="I58" s="32"/>
      <c r="J58" s="30"/>
    </row>
    <row r="59" spans="1:10" ht="22.5" x14ac:dyDescent="0.6">
      <c r="A59" s="33" t="s">
        <v>43</v>
      </c>
      <c r="B59" s="36" t="s">
        <v>44</v>
      </c>
      <c r="C59" s="8" t="s">
        <v>45</v>
      </c>
      <c r="D59" s="9" t="s">
        <v>46</v>
      </c>
      <c r="E59" s="9" t="s">
        <v>46</v>
      </c>
      <c r="F59" s="9" t="s">
        <v>46</v>
      </c>
      <c r="G59" s="9" t="s">
        <v>46</v>
      </c>
      <c r="H59" s="9" t="s">
        <v>46</v>
      </c>
      <c r="I59" s="9" t="s">
        <v>46</v>
      </c>
      <c r="J59" s="11" t="s">
        <v>46</v>
      </c>
    </row>
    <row r="60" spans="1:10" ht="22.5" x14ac:dyDescent="0.6">
      <c r="A60" s="34"/>
      <c r="B60" s="37"/>
      <c r="C60" s="8" t="s">
        <v>47</v>
      </c>
      <c r="D60" s="10">
        <v>9418032</v>
      </c>
      <c r="E60" s="10">
        <v>36747</v>
      </c>
      <c r="F60" s="10">
        <v>23499</v>
      </c>
      <c r="G60" s="10">
        <v>203260</v>
      </c>
      <c r="H60" s="10">
        <v>12568</v>
      </c>
      <c r="I60" s="10">
        <v>239327</v>
      </c>
      <c r="J60" s="12">
        <v>9694106</v>
      </c>
    </row>
    <row r="61" spans="1:10" x14ac:dyDescent="0.6">
      <c r="A61" s="34"/>
      <c r="B61" s="38"/>
      <c r="C61" s="8" t="s">
        <v>48</v>
      </c>
      <c r="D61" s="10">
        <v>9418032</v>
      </c>
      <c r="E61" s="10">
        <v>36747</v>
      </c>
      <c r="F61" s="10">
        <v>23499</v>
      </c>
      <c r="G61" s="10">
        <v>203260</v>
      </c>
      <c r="H61" s="10">
        <v>12568</v>
      </c>
      <c r="I61" s="10">
        <v>239327</v>
      </c>
      <c r="J61" s="12">
        <v>9694106</v>
      </c>
    </row>
    <row r="62" spans="1:10" ht="33.75" x14ac:dyDescent="0.6">
      <c r="A62" s="34"/>
      <c r="B62" s="36" t="s">
        <v>59</v>
      </c>
      <c r="C62" s="8" t="s">
        <v>17</v>
      </c>
      <c r="D62" s="10">
        <v>15529</v>
      </c>
      <c r="E62" s="9">
        <v>-906</v>
      </c>
      <c r="F62" s="9">
        <v>-410</v>
      </c>
      <c r="G62" s="10">
        <v>-8973</v>
      </c>
      <c r="H62" s="10">
        <v>-5240</v>
      </c>
      <c r="I62" s="10">
        <v>-14623</v>
      </c>
      <c r="J62" s="11" t="s">
        <v>46</v>
      </c>
    </row>
    <row r="63" spans="1:10" ht="45" x14ac:dyDescent="0.6">
      <c r="A63" s="34"/>
      <c r="B63" s="37"/>
      <c r="C63" s="8" t="s">
        <v>18</v>
      </c>
      <c r="D63" s="10">
        <v>9341</v>
      </c>
      <c r="E63" s="9">
        <v>-545</v>
      </c>
      <c r="F63" s="9" t="s">
        <v>46</v>
      </c>
      <c r="G63" s="9" t="s">
        <v>46</v>
      </c>
      <c r="H63" s="9" t="s">
        <v>46</v>
      </c>
      <c r="I63" s="9" t="s">
        <v>46</v>
      </c>
      <c r="J63" s="12">
        <v>8796</v>
      </c>
    </row>
    <row r="64" spans="1:10" ht="22.5" x14ac:dyDescent="0.6">
      <c r="A64" s="34"/>
      <c r="B64" s="38"/>
      <c r="C64" s="8" t="s">
        <v>19</v>
      </c>
      <c r="D64" s="10">
        <v>-9062</v>
      </c>
      <c r="E64" s="9">
        <v>842</v>
      </c>
      <c r="F64" s="9" t="s">
        <v>46</v>
      </c>
      <c r="G64" s="9" t="s">
        <v>46</v>
      </c>
      <c r="H64" s="10">
        <v>8234</v>
      </c>
      <c r="I64" s="10">
        <v>8234</v>
      </c>
      <c r="J64" s="11">
        <v>14</v>
      </c>
    </row>
    <row r="65" spans="1:10" ht="33.75" x14ac:dyDescent="0.6">
      <c r="A65" s="34"/>
      <c r="B65" s="36" t="s">
        <v>50</v>
      </c>
      <c r="C65" s="8" t="s">
        <v>51</v>
      </c>
      <c r="D65" s="9" t="s">
        <v>46</v>
      </c>
      <c r="E65" s="9" t="s">
        <v>46</v>
      </c>
      <c r="F65" s="9">
        <v>-766</v>
      </c>
      <c r="G65" s="10">
        <v>-6479</v>
      </c>
      <c r="H65" s="9">
        <v>-389</v>
      </c>
      <c r="I65" s="10">
        <v>-7634</v>
      </c>
      <c r="J65" s="12">
        <v>-7634</v>
      </c>
    </row>
    <row r="66" spans="1:10" ht="22.5" x14ac:dyDescent="0.6">
      <c r="A66" s="34"/>
      <c r="B66" s="37"/>
      <c r="C66" s="8" t="s">
        <v>20</v>
      </c>
      <c r="D66" s="9" t="s">
        <v>46</v>
      </c>
      <c r="E66" s="10">
        <v>-1420</v>
      </c>
      <c r="F66" s="9" t="s">
        <v>46</v>
      </c>
      <c r="G66" s="9" t="s">
        <v>46</v>
      </c>
      <c r="H66" s="9" t="s">
        <v>46</v>
      </c>
      <c r="I66" s="9" t="s">
        <v>46</v>
      </c>
      <c r="J66" s="12">
        <v>-1420</v>
      </c>
    </row>
    <row r="67" spans="1:10" x14ac:dyDescent="0.6">
      <c r="A67" s="34"/>
      <c r="B67" s="38"/>
      <c r="C67" s="8" t="s">
        <v>21</v>
      </c>
      <c r="D67" s="9">
        <v>68</v>
      </c>
      <c r="E67" s="9" t="s">
        <v>46</v>
      </c>
      <c r="F67" s="9" t="s">
        <v>46</v>
      </c>
      <c r="G67" s="9" t="s">
        <v>46</v>
      </c>
      <c r="H67" s="9" t="s">
        <v>46</v>
      </c>
      <c r="I67" s="9" t="s">
        <v>46</v>
      </c>
      <c r="J67" s="11">
        <v>68</v>
      </c>
    </row>
    <row r="68" spans="1:10" ht="45" x14ac:dyDescent="0.6">
      <c r="A68" s="34"/>
      <c r="B68" s="8" t="s">
        <v>52</v>
      </c>
      <c r="C68" s="8" t="s">
        <v>61</v>
      </c>
      <c r="D68" s="9">
        <v>165</v>
      </c>
      <c r="E68" s="9">
        <v>-13</v>
      </c>
      <c r="F68" s="9" t="s">
        <v>46</v>
      </c>
      <c r="G68" s="9" t="s">
        <v>46</v>
      </c>
      <c r="H68" s="9" t="s">
        <v>46</v>
      </c>
      <c r="I68" s="9" t="s">
        <v>46</v>
      </c>
      <c r="J68" s="11">
        <v>152</v>
      </c>
    </row>
    <row r="69" spans="1:10" ht="22.5" x14ac:dyDescent="0.6">
      <c r="A69" s="34"/>
      <c r="B69" s="36" t="s">
        <v>54</v>
      </c>
      <c r="C69" s="8" t="s">
        <v>22</v>
      </c>
      <c r="D69" s="10">
        <v>211169</v>
      </c>
      <c r="E69" s="9" t="s">
        <v>46</v>
      </c>
      <c r="F69" s="9" t="s">
        <v>46</v>
      </c>
      <c r="G69" s="9" t="s">
        <v>46</v>
      </c>
      <c r="H69" s="9" t="s">
        <v>46</v>
      </c>
      <c r="I69" s="9" t="s">
        <v>46</v>
      </c>
      <c r="J69" s="12">
        <v>211169</v>
      </c>
    </row>
    <row r="70" spans="1:10" ht="22.5" x14ac:dyDescent="0.6">
      <c r="A70" s="34"/>
      <c r="B70" s="37"/>
      <c r="C70" s="8" t="s">
        <v>23</v>
      </c>
      <c r="D70" s="10">
        <v>-16144</v>
      </c>
      <c r="E70" s="9" t="s">
        <v>46</v>
      </c>
      <c r="F70" s="9" t="s">
        <v>46</v>
      </c>
      <c r="G70" s="9" t="s">
        <v>46</v>
      </c>
      <c r="H70" s="9" t="s">
        <v>46</v>
      </c>
      <c r="I70" s="9" t="s">
        <v>46</v>
      </c>
      <c r="J70" s="12">
        <v>-16144</v>
      </c>
    </row>
    <row r="71" spans="1:10" ht="67.5" customHeight="1" x14ac:dyDescent="0.6">
      <c r="A71" s="34"/>
      <c r="B71" s="38"/>
      <c r="C71" s="8" t="s">
        <v>55</v>
      </c>
      <c r="D71" s="10">
        <v>-385104</v>
      </c>
      <c r="E71" s="9" t="s">
        <v>46</v>
      </c>
      <c r="F71" s="9" t="s">
        <v>46</v>
      </c>
      <c r="G71" s="9" t="s">
        <v>46</v>
      </c>
      <c r="H71" s="9" t="s">
        <v>46</v>
      </c>
      <c r="I71" s="9" t="s">
        <v>46</v>
      </c>
      <c r="J71" s="12">
        <v>-385104</v>
      </c>
    </row>
    <row r="72" spans="1:10" ht="33.75" x14ac:dyDescent="0.6">
      <c r="A72" s="34"/>
      <c r="B72" s="36" t="s">
        <v>56</v>
      </c>
      <c r="C72" s="8" t="s">
        <v>24</v>
      </c>
      <c r="D72" s="10">
        <v>9168</v>
      </c>
      <c r="E72" s="9">
        <v>139</v>
      </c>
      <c r="F72" s="9">
        <v>11</v>
      </c>
      <c r="G72" s="10">
        <v>1369</v>
      </c>
      <c r="H72" s="9" t="s">
        <v>46</v>
      </c>
      <c r="I72" s="10">
        <v>1380</v>
      </c>
      <c r="J72" s="12">
        <v>10687</v>
      </c>
    </row>
    <row r="73" spans="1:10" ht="33.75" x14ac:dyDescent="0.6">
      <c r="A73" s="34"/>
      <c r="B73" s="38"/>
      <c r="C73" s="8" t="s">
        <v>25</v>
      </c>
      <c r="D73" s="10">
        <v>154242</v>
      </c>
      <c r="E73" s="9">
        <v>407</v>
      </c>
      <c r="F73" s="9" t="s">
        <v>46</v>
      </c>
      <c r="G73" s="9" t="s">
        <v>46</v>
      </c>
      <c r="H73" s="9" t="s">
        <v>46</v>
      </c>
      <c r="I73" s="9" t="s">
        <v>46</v>
      </c>
      <c r="J73" s="12">
        <v>154649</v>
      </c>
    </row>
    <row r="74" spans="1:10" x14ac:dyDescent="0.6">
      <c r="A74" s="34"/>
      <c r="B74" s="39" t="s">
        <v>26</v>
      </c>
      <c r="C74" s="40"/>
      <c r="D74" s="10">
        <v>1092</v>
      </c>
      <c r="E74" s="9" t="s">
        <v>46</v>
      </c>
      <c r="F74" s="9" t="s">
        <v>46</v>
      </c>
      <c r="G74" s="9" t="s">
        <v>46</v>
      </c>
      <c r="H74" s="9" t="s">
        <v>46</v>
      </c>
      <c r="I74" s="9" t="s">
        <v>46</v>
      </c>
      <c r="J74" s="12">
        <v>1092</v>
      </c>
    </row>
    <row r="75" spans="1:10" ht="22.5" x14ac:dyDescent="0.6">
      <c r="A75" s="34"/>
      <c r="B75" s="36" t="s">
        <v>57</v>
      </c>
      <c r="C75" s="8" t="s">
        <v>45</v>
      </c>
      <c r="D75" s="9" t="s">
        <v>46</v>
      </c>
      <c r="E75" s="9" t="s">
        <v>46</v>
      </c>
      <c r="F75" s="9" t="s">
        <v>46</v>
      </c>
      <c r="G75" s="9" t="s">
        <v>46</v>
      </c>
      <c r="H75" s="9" t="s">
        <v>46</v>
      </c>
      <c r="I75" s="9" t="s">
        <v>46</v>
      </c>
      <c r="J75" s="11" t="s">
        <v>46</v>
      </c>
    </row>
    <row r="76" spans="1:10" ht="22.5" x14ac:dyDescent="0.6">
      <c r="A76" s="34"/>
      <c r="B76" s="37"/>
      <c r="C76" s="8" t="s">
        <v>47</v>
      </c>
      <c r="D76" s="10">
        <v>9408496</v>
      </c>
      <c r="E76" s="10">
        <v>35252</v>
      </c>
      <c r="F76" s="10">
        <v>22334</v>
      </c>
      <c r="G76" s="10">
        <v>189178</v>
      </c>
      <c r="H76" s="10">
        <v>15173</v>
      </c>
      <c r="I76" s="10">
        <v>226685</v>
      </c>
      <c r="J76" s="12">
        <v>9670433</v>
      </c>
    </row>
    <row r="77" spans="1:10" x14ac:dyDescent="0.6">
      <c r="A77" s="35"/>
      <c r="B77" s="38"/>
      <c r="C77" s="8" t="s">
        <v>58</v>
      </c>
      <c r="D77" s="10">
        <v>9408496</v>
      </c>
      <c r="E77" s="10">
        <v>35252</v>
      </c>
      <c r="F77" s="10">
        <v>22334</v>
      </c>
      <c r="G77" s="10">
        <v>189178</v>
      </c>
      <c r="H77" s="10">
        <v>15173</v>
      </c>
      <c r="I77" s="10">
        <v>226685</v>
      </c>
      <c r="J77" s="12">
        <v>9670433</v>
      </c>
    </row>
    <row r="79" spans="1:10" x14ac:dyDescent="0.6">
      <c r="A79" s="3" t="s">
        <v>65</v>
      </c>
    </row>
    <row r="80" spans="1:10" x14ac:dyDescent="0.6">
      <c r="A80" s="13" t="s">
        <v>31</v>
      </c>
      <c r="B80" s="14"/>
      <c r="C80" s="14"/>
      <c r="D80" s="14"/>
      <c r="E80" s="14"/>
      <c r="F80" s="14"/>
      <c r="G80" s="14"/>
      <c r="H80" s="14"/>
      <c r="I80" s="14"/>
      <c r="J80" s="15"/>
    </row>
    <row r="81" spans="1:10" x14ac:dyDescent="0.6">
      <c r="A81" s="16" t="s">
        <v>32</v>
      </c>
      <c r="B81" s="17"/>
      <c r="C81" s="18"/>
      <c r="D81" s="25" t="s">
        <v>33</v>
      </c>
      <c r="E81" s="26"/>
      <c r="F81" s="26"/>
      <c r="G81" s="26"/>
      <c r="H81" s="26"/>
      <c r="I81" s="27"/>
      <c r="J81" s="28" t="s">
        <v>34</v>
      </c>
    </row>
    <row r="82" spans="1:10" ht="22.5" x14ac:dyDescent="0.6">
      <c r="A82" s="19"/>
      <c r="B82" s="20"/>
      <c r="C82" s="21"/>
      <c r="D82" s="4" t="s">
        <v>35</v>
      </c>
      <c r="E82" s="4" t="s">
        <v>37</v>
      </c>
      <c r="F82" s="25" t="s">
        <v>12</v>
      </c>
      <c r="G82" s="26"/>
      <c r="H82" s="26"/>
      <c r="I82" s="27"/>
      <c r="J82" s="29"/>
    </row>
    <row r="83" spans="1:10" ht="33.75" customHeight="1" x14ac:dyDescent="0.6">
      <c r="A83" s="19"/>
      <c r="B83" s="20"/>
      <c r="C83" s="21"/>
      <c r="D83" s="5" t="s">
        <v>36</v>
      </c>
      <c r="E83" s="5" t="s">
        <v>38</v>
      </c>
      <c r="F83" s="4" t="s">
        <v>63</v>
      </c>
      <c r="G83" s="31" t="s">
        <v>40</v>
      </c>
      <c r="H83" s="4" t="s">
        <v>41</v>
      </c>
      <c r="I83" s="31" t="s">
        <v>42</v>
      </c>
      <c r="J83" s="29"/>
    </row>
    <row r="84" spans="1:10" ht="33.75" x14ac:dyDescent="0.6">
      <c r="A84" s="22"/>
      <c r="B84" s="23"/>
      <c r="C84" s="24"/>
      <c r="D84" s="6"/>
      <c r="E84" s="6"/>
      <c r="F84" s="7" t="s">
        <v>64</v>
      </c>
      <c r="G84" s="32"/>
      <c r="H84" s="7" t="s">
        <v>14</v>
      </c>
      <c r="I84" s="32"/>
      <c r="J84" s="30"/>
    </row>
    <row r="85" spans="1:10" ht="22.5" x14ac:dyDescent="0.6">
      <c r="A85" s="33" t="s">
        <v>43</v>
      </c>
      <c r="B85" s="36" t="s">
        <v>44</v>
      </c>
      <c r="C85" s="8" t="s">
        <v>45</v>
      </c>
      <c r="D85" s="9" t="s">
        <v>46</v>
      </c>
      <c r="E85" s="9" t="s">
        <v>46</v>
      </c>
      <c r="F85" s="9" t="s">
        <v>46</v>
      </c>
      <c r="G85" s="9" t="s">
        <v>46</v>
      </c>
      <c r="H85" s="9" t="s">
        <v>46</v>
      </c>
      <c r="I85" s="9" t="s">
        <v>46</v>
      </c>
      <c r="J85" s="11" t="s">
        <v>46</v>
      </c>
    </row>
    <row r="86" spans="1:10" ht="22.5" x14ac:dyDescent="0.6">
      <c r="A86" s="34"/>
      <c r="B86" s="37"/>
      <c r="C86" s="8" t="s">
        <v>47</v>
      </c>
      <c r="D86" s="10">
        <v>6190308</v>
      </c>
      <c r="E86" s="10">
        <v>42171</v>
      </c>
      <c r="F86" s="10">
        <v>33077</v>
      </c>
      <c r="G86" s="10">
        <v>116525</v>
      </c>
      <c r="H86" s="10">
        <v>19005</v>
      </c>
      <c r="I86" s="10">
        <v>168607</v>
      </c>
      <c r="J86" s="12">
        <v>6401086</v>
      </c>
    </row>
    <row r="87" spans="1:10" x14ac:dyDescent="0.6">
      <c r="A87" s="34"/>
      <c r="B87" s="38"/>
      <c r="C87" s="8" t="s">
        <v>48</v>
      </c>
      <c r="D87" s="10">
        <v>6190308</v>
      </c>
      <c r="E87" s="10">
        <v>42171</v>
      </c>
      <c r="F87" s="10">
        <v>33077</v>
      </c>
      <c r="G87" s="10">
        <v>116525</v>
      </c>
      <c r="H87" s="10">
        <v>19005</v>
      </c>
      <c r="I87" s="10">
        <v>168607</v>
      </c>
      <c r="J87" s="12">
        <v>6401086</v>
      </c>
    </row>
    <row r="88" spans="1:10" ht="33.75" x14ac:dyDescent="0.6">
      <c r="A88" s="34"/>
      <c r="B88" s="36" t="s">
        <v>59</v>
      </c>
      <c r="C88" s="8" t="s">
        <v>17</v>
      </c>
      <c r="D88" s="10">
        <v>-11857</v>
      </c>
      <c r="E88" s="9">
        <v>-599</v>
      </c>
      <c r="F88" s="10">
        <v>-3007</v>
      </c>
      <c r="G88" s="10">
        <v>15590</v>
      </c>
      <c r="H88" s="9">
        <v>-127</v>
      </c>
      <c r="I88" s="10">
        <v>12456</v>
      </c>
      <c r="J88" s="11" t="s">
        <v>46</v>
      </c>
    </row>
    <row r="89" spans="1:10" ht="45" x14ac:dyDescent="0.6">
      <c r="A89" s="34"/>
      <c r="B89" s="37"/>
      <c r="C89" s="8" t="s">
        <v>18</v>
      </c>
      <c r="D89" s="9">
        <v>-49</v>
      </c>
      <c r="E89" s="9">
        <v>-2</v>
      </c>
      <c r="F89" s="9" t="s">
        <v>46</v>
      </c>
      <c r="G89" s="9" t="s">
        <v>46</v>
      </c>
      <c r="H89" s="9" t="s">
        <v>46</v>
      </c>
      <c r="I89" s="9" t="s">
        <v>46</v>
      </c>
      <c r="J89" s="11">
        <v>-52</v>
      </c>
    </row>
    <row r="90" spans="1:10" ht="22.5" x14ac:dyDescent="0.6">
      <c r="A90" s="34"/>
      <c r="B90" s="38"/>
      <c r="C90" s="8" t="s">
        <v>19</v>
      </c>
      <c r="D90" s="10">
        <v>-8076</v>
      </c>
      <c r="E90" s="9">
        <v>798</v>
      </c>
      <c r="F90" s="9" t="s">
        <v>46</v>
      </c>
      <c r="G90" s="9" t="s">
        <v>46</v>
      </c>
      <c r="H90" s="10">
        <v>7369</v>
      </c>
      <c r="I90" s="10">
        <v>7369</v>
      </c>
      <c r="J90" s="11">
        <v>91</v>
      </c>
    </row>
    <row r="91" spans="1:10" ht="33.75" x14ac:dyDescent="0.6">
      <c r="A91" s="34"/>
      <c r="B91" s="36" t="s">
        <v>50</v>
      </c>
      <c r="C91" s="8" t="s">
        <v>51</v>
      </c>
      <c r="D91" s="9" t="s">
        <v>46</v>
      </c>
      <c r="E91" s="9" t="s">
        <v>46</v>
      </c>
      <c r="F91" s="10">
        <v>-1421</v>
      </c>
      <c r="G91" s="10">
        <v>-3882</v>
      </c>
      <c r="H91" s="10">
        <v>-1214</v>
      </c>
      <c r="I91" s="10">
        <v>-6516</v>
      </c>
      <c r="J91" s="12">
        <v>-6516</v>
      </c>
    </row>
    <row r="92" spans="1:10" ht="22.5" x14ac:dyDescent="0.6">
      <c r="A92" s="34"/>
      <c r="B92" s="37"/>
      <c r="C92" s="8" t="s">
        <v>20</v>
      </c>
      <c r="D92" s="9" t="s">
        <v>46</v>
      </c>
      <c r="E92" s="10">
        <v>-1364</v>
      </c>
      <c r="F92" s="9" t="s">
        <v>46</v>
      </c>
      <c r="G92" s="9" t="s">
        <v>46</v>
      </c>
      <c r="H92" s="9" t="s">
        <v>46</v>
      </c>
      <c r="I92" s="9" t="s">
        <v>46</v>
      </c>
      <c r="J92" s="12">
        <v>-1364</v>
      </c>
    </row>
    <row r="93" spans="1:10" x14ac:dyDescent="0.6">
      <c r="A93" s="34"/>
      <c r="B93" s="38"/>
      <c r="C93" s="8" t="s">
        <v>21</v>
      </c>
      <c r="D93" s="10">
        <v>-4765</v>
      </c>
      <c r="E93" s="9" t="s">
        <v>46</v>
      </c>
      <c r="F93" s="9" t="s">
        <v>46</v>
      </c>
      <c r="G93" s="9" t="s">
        <v>46</v>
      </c>
      <c r="H93" s="9" t="s">
        <v>46</v>
      </c>
      <c r="I93" s="9" t="s">
        <v>46</v>
      </c>
      <c r="J93" s="12">
        <v>-4765</v>
      </c>
    </row>
    <row r="94" spans="1:10" ht="45" x14ac:dyDescent="0.6">
      <c r="A94" s="34"/>
      <c r="B94" s="8" t="s">
        <v>52</v>
      </c>
      <c r="C94" s="8" t="s">
        <v>61</v>
      </c>
      <c r="D94" s="9">
        <v>-546</v>
      </c>
      <c r="E94" s="9">
        <v>-45</v>
      </c>
      <c r="F94" s="9" t="s">
        <v>46</v>
      </c>
      <c r="G94" s="9" t="s">
        <v>46</v>
      </c>
      <c r="H94" s="9" t="s">
        <v>46</v>
      </c>
      <c r="I94" s="9" t="s">
        <v>46</v>
      </c>
      <c r="J94" s="11">
        <v>-591</v>
      </c>
    </row>
    <row r="95" spans="1:10" ht="22.5" x14ac:dyDescent="0.6">
      <c r="A95" s="34"/>
      <c r="B95" s="36" t="s">
        <v>54</v>
      </c>
      <c r="C95" s="8" t="s">
        <v>22</v>
      </c>
      <c r="D95" s="10">
        <v>303200</v>
      </c>
      <c r="E95" s="9" t="s">
        <v>46</v>
      </c>
      <c r="F95" s="9" t="s">
        <v>46</v>
      </c>
      <c r="G95" s="9" t="s">
        <v>46</v>
      </c>
      <c r="H95" s="9" t="s">
        <v>46</v>
      </c>
      <c r="I95" s="9" t="s">
        <v>46</v>
      </c>
      <c r="J95" s="12">
        <v>303200</v>
      </c>
    </row>
    <row r="96" spans="1:10" ht="22.5" x14ac:dyDescent="0.6">
      <c r="A96" s="34"/>
      <c r="B96" s="37"/>
      <c r="C96" s="8" t="s">
        <v>23</v>
      </c>
      <c r="D96" s="10">
        <v>-3924</v>
      </c>
      <c r="E96" s="9" t="s">
        <v>46</v>
      </c>
      <c r="F96" s="9" t="s">
        <v>46</v>
      </c>
      <c r="G96" s="9" t="s">
        <v>46</v>
      </c>
      <c r="H96" s="9" t="s">
        <v>46</v>
      </c>
      <c r="I96" s="9" t="s">
        <v>46</v>
      </c>
      <c r="J96" s="12">
        <v>-3924</v>
      </c>
    </row>
    <row r="97" spans="1:10" ht="56.25" x14ac:dyDescent="0.6">
      <c r="A97" s="34"/>
      <c r="B97" s="38"/>
      <c r="C97" s="8" t="s">
        <v>55</v>
      </c>
      <c r="D97" s="10">
        <v>-398038</v>
      </c>
      <c r="E97" s="9" t="s">
        <v>46</v>
      </c>
      <c r="F97" s="9" t="s">
        <v>46</v>
      </c>
      <c r="G97" s="9" t="s">
        <v>46</v>
      </c>
      <c r="H97" s="9" t="s">
        <v>46</v>
      </c>
      <c r="I97" s="9" t="s">
        <v>46</v>
      </c>
      <c r="J97" s="12">
        <v>-398038</v>
      </c>
    </row>
    <row r="98" spans="1:10" ht="33.75" x14ac:dyDescent="0.6">
      <c r="A98" s="34"/>
      <c r="B98" s="36" t="s">
        <v>56</v>
      </c>
      <c r="C98" s="8" t="s">
        <v>24</v>
      </c>
      <c r="D98" s="10">
        <v>-47785</v>
      </c>
      <c r="E98" s="9">
        <v>22</v>
      </c>
      <c r="F98" s="9" t="s">
        <v>46</v>
      </c>
      <c r="G98" s="9">
        <v>142</v>
      </c>
      <c r="H98" s="9" t="s">
        <v>46</v>
      </c>
      <c r="I98" s="9">
        <v>142</v>
      </c>
      <c r="J98" s="12">
        <v>-47621</v>
      </c>
    </row>
    <row r="99" spans="1:10" ht="33.75" x14ac:dyDescent="0.6">
      <c r="A99" s="34"/>
      <c r="B99" s="38"/>
      <c r="C99" s="8" t="s">
        <v>25</v>
      </c>
      <c r="D99" s="10">
        <v>3014</v>
      </c>
      <c r="E99" s="9">
        <v>-178</v>
      </c>
      <c r="F99" s="9" t="s">
        <v>46</v>
      </c>
      <c r="G99" s="9" t="s">
        <v>46</v>
      </c>
      <c r="H99" s="9" t="s">
        <v>46</v>
      </c>
      <c r="I99" s="9" t="s">
        <v>46</v>
      </c>
      <c r="J99" s="12">
        <v>2836</v>
      </c>
    </row>
    <row r="100" spans="1:10" x14ac:dyDescent="0.6">
      <c r="A100" s="34"/>
      <c r="B100" s="39" t="s">
        <v>26</v>
      </c>
      <c r="C100" s="40"/>
      <c r="D100" s="10">
        <v>7760</v>
      </c>
      <c r="E100" s="9" t="s">
        <v>46</v>
      </c>
      <c r="F100" s="9" t="s">
        <v>46</v>
      </c>
      <c r="G100" s="9" t="s">
        <v>46</v>
      </c>
      <c r="H100" s="9" t="s">
        <v>46</v>
      </c>
      <c r="I100" s="9" t="s">
        <v>46</v>
      </c>
      <c r="J100" s="12">
        <v>7760</v>
      </c>
    </row>
    <row r="101" spans="1:10" ht="22.5" x14ac:dyDescent="0.6">
      <c r="A101" s="34"/>
      <c r="B101" s="36" t="s">
        <v>57</v>
      </c>
      <c r="C101" s="8" t="s">
        <v>45</v>
      </c>
      <c r="D101" s="9" t="s">
        <v>46</v>
      </c>
      <c r="E101" s="9" t="s">
        <v>46</v>
      </c>
      <c r="F101" s="9" t="s">
        <v>46</v>
      </c>
      <c r="G101" s="9" t="s">
        <v>46</v>
      </c>
      <c r="H101" s="9" t="s">
        <v>46</v>
      </c>
      <c r="I101" s="9" t="s">
        <v>46</v>
      </c>
      <c r="J101" s="11" t="s">
        <v>46</v>
      </c>
    </row>
    <row r="102" spans="1:10" ht="22.5" x14ac:dyDescent="0.6">
      <c r="A102" s="34"/>
      <c r="B102" s="37"/>
      <c r="C102" s="8" t="s">
        <v>47</v>
      </c>
      <c r="D102" s="10">
        <v>6029242</v>
      </c>
      <c r="E102" s="10">
        <v>40801</v>
      </c>
      <c r="F102" s="10">
        <v>28649</v>
      </c>
      <c r="G102" s="10">
        <v>128375</v>
      </c>
      <c r="H102" s="10">
        <v>25033</v>
      </c>
      <c r="I102" s="10">
        <v>182058</v>
      </c>
      <c r="J102" s="12">
        <v>6252101</v>
      </c>
    </row>
    <row r="103" spans="1:10" x14ac:dyDescent="0.6">
      <c r="A103" s="35"/>
      <c r="B103" s="38"/>
      <c r="C103" s="8" t="s">
        <v>58</v>
      </c>
      <c r="D103" s="10">
        <v>6029242</v>
      </c>
      <c r="E103" s="10">
        <v>40801</v>
      </c>
      <c r="F103" s="10">
        <v>28649</v>
      </c>
      <c r="G103" s="10">
        <v>128375</v>
      </c>
      <c r="H103" s="10">
        <v>25033</v>
      </c>
      <c r="I103" s="10">
        <v>182058</v>
      </c>
      <c r="J103" s="12">
        <v>6252101</v>
      </c>
    </row>
    <row r="105" spans="1:10" x14ac:dyDescent="0.6">
      <c r="A105" s="3" t="s">
        <v>66</v>
      </c>
    </row>
    <row r="106" spans="1:10" x14ac:dyDescent="0.6">
      <c r="A106" s="13" t="s">
        <v>31</v>
      </c>
      <c r="B106" s="14"/>
      <c r="C106" s="14"/>
      <c r="D106" s="14"/>
      <c r="E106" s="14"/>
      <c r="F106" s="14"/>
      <c r="G106" s="14"/>
      <c r="H106" s="14"/>
      <c r="I106" s="14"/>
      <c r="J106" s="15"/>
    </row>
    <row r="107" spans="1:10" x14ac:dyDescent="0.6">
      <c r="A107" s="16" t="s">
        <v>32</v>
      </c>
      <c r="B107" s="17"/>
      <c r="C107" s="18"/>
      <c r="D107" s="25" t="s">
        <v>33</v>
      </c>
      <c r="E107" s="26"/>
      <c r="F107" s="26"/>
      <c r="G107" s="26"/>
      <c r="H107" s="26"/>
      <c r="I107" s="27"/>
      <c r="J107" s="28" t="s">
        <v>34</v>
      </c>
    </row>
    <row r="108" spans="1:10" ht="22.5" x14ac:dyDescent="0.6">
      <c r="A108" s="19"/>
      <c r="B108" s="20"/>
      <c r="C108" s="21"/>
      <c r="D108" s="4" t="s">
        <v>35</v>
      </c>
      <c r="E108" s="4" t="s">
        <v>37</v>
      </c>
      <c r="F108" s="25" t="s">
        <v>12</v>
      </c>
      <c r="G108" s="26"/>
      <c r="H108" s="26"/>
      <c r="I108" s="27"/>
      <c r="J108" s="29"/>
    </row>
    <row r="109" spans="1:10" ht="33.75" customHeight="1" x14ac:dyDescent="0.6">
      <c r="A109" s="19"/>
      <c r="B109" s="20"/>
      <c r="C109" s="21"/>
      <c r="D109" s="5" t="s">
        <v>36</v>
      </c>
      <c r="E109" s="5" t="s">
        <v>38</v>
      </c>
      <c r="F109" s="4" t="s">
        <v>63</v>
      </c>
      <c r="G109" s="31" t="s">
        <v>40</v>
      </c>
      <c r="H109" s="4" t="s">
        <v>41</v>
      </c>
      <c r="I109" s="31" t="s">
        <v>42</v>
      </c>
      <c r="J109" s="29"/>
    </row>
    <row r="110" spans="1:10" ht="33.75" x14ac:dyDescent="0.6">
      <c r="A110" s="22"/>
      <c r="B110" s="23"/>
      <c r="C110" s="24"/>
      <c r="D110" s="6"/>
      <c r="E110" s="6"/>
      <c r="F110" s="7" t="s">
        <v>64</v>
      </c>
      <c r="G110" s="32"/>
      <c r="H110" s="7" t="s">
        <v>14</v>
      </c>
      <c r="I110" s="32"/>
      <c r="J110" s="30"/>
    </row>
    <row r="111" spans="1:10" ht="22.5" x14ac:dyDescent="0.6">
      <c r="A111" s="33" t="s">
        <v>43</v>
      </c>
      <c r="B111" s="36" t="s">
        <v>44</v>
      </c>
      <c r="C111" s="8" t="s">
        <v>45</v>
      </c>
      <c r="D111" s="9" t="s">
        <v>46</v>
      </c>
      <c r="E111" s="9" t="s">
        <v>46</v>
      </c>
      <c r="F111" s="9" t="s">
        <v>46</v>
      </c>
      <c r="G111" s="9" t="s">
        <v>46</v>
      </c>
      <c r="H111" s="9" t="s">
        <v>46</v>
      </c>
      <c r="I111" s="9" t="s">
        <v>46</v>
      </c>
      <c r="J111" s="11" t="s">
        <v>46</v>
      </c>
    </row>
    <row r="112" spans="1:10" ht="22.5" x14ac:dyDescent="0.6">
      <c r="A112" s="34"/>
      <c r="B112" s="37"/>
      <c r="C112" s="8" t="s">
        <v>47</v>
      </c>
      <c r="D112" s="10">
        <v>16328</v>
      </c>
      <c r="E112" s="9" t="s">
        <v>46</v>
      </c>
      <c r="F112" s="9" t="s">
        <v>46</v>
      </c>
      <c r="G112" s="9">
        <v>649</v>
      </c>
      <c r="H112" s="9" t="s">
        <v>46</v>
      </c>
      <c r="I112" s="9">
        <v>649</v>
      </c>
      <c r="J112" s="12">
        <v>16977</v>
      </c>
    </row>
    <row r="113" spans="1:10" x14ac:dyDescent="0.6">
      <c r="A113" s="34"/>
      <c r="B113" s="38"/>
      <c r="C113" s="8" t="s">
        <v>48</v>
      </c>
      <c r="D113" s="10">
        <v>16328</v>
      </c>
      <c r="E113" s="9" t="s">
        <v>46</v>
      </c>
      <c r="F113" s="9" t="s">
        <v>46</v>
      </c>
      <c r="G113" s="9">
        <v>649</v>
      </c>
      <c r="H113" s="9" t="s">
        <v>46</v>
      </c>
      <c r="I113" s="9">
        <v>649</v>
      </c>
      <c r="J113" s="12">
        <v>16977</v>
      </c>
    </row>
    <row r="114" spans="1:10" ht="33.75" x14ac:dyDescent="0.6">
      <c r="A114" s="34"/>
      <c r="B114" s="36" t="s">
        <v>59</v>
      </c>
      <c r="C114" s="8" t="s">
        <v>17</v>
      </c>
      <c r="D114" s="9">
        <v>-16</v>
      </c>
      <c r="E114" s="9" t="s">
        <v>46</v>
      </c>
      <c r="F114" s="9" t="s">
        <v>46</v>
      </c>
      <c r="G114" s="9">
        <v>16</v>
      </c>
      <c r="H114" s="9" t="s">
        <v>46</v>
      </c>
      <c r="I114" s="9">
        <v>16</v>
      </c>
      <c r="J114" s="11" t="s">
        <v>46</v>
      </c>
    </row>
    <row r="115" spans="1:10" ht="45" x14ac:dyDescent="0.6">
      <c r="A115" s="34"/>
      <c r="B115" s="37"/>
      <c r="C115" s="8" t="s">
        <v>18</v>
      </c>
      <c r="D115" s="9" t="s">
        <v>46</v>
      </c>
      <c r="E115" s="9" t="s">
        <v>46</v>
      </c>
      <c r="F115" s="9" t="s">
        <v>46</v>
      </c>
      <c r="G115" s="9" t="s">
        <v>46</v>
      </c>
      <c r="H115" s="9" t="s">
        <v>46</v>
      </c>
      <c r="I115" s="9" t="s">
        <v>46</v>
      </c>
      <c r="J115" s="11" t="s">
        <v>46</v>
      </c>
    </row>
    <row r="116" spans="1:10" ht="22.5" x14ac:dyDescent="0.6">
      <c r="A116" s="34"/>
      <c r="B116" s="38"/>
      <c r="C116" s="8" t="s">
        <v>19</v>
      </c>
      <c r="D116" s="9" t="s">
        <v>46</v>
      </c>
      <c r="E116" s="9" t="s">
        <v>46</v>
      </c>
      <c r="F116" s="9" t="s">
        <v>46</v>
      </c>
      <c r="G116" s="9" t="s">
        <v>46</v>
      </c>
      <c r="H116" s="9" t="s">
        <v>46</v>
      </c>
      <c r="I116" s="9" t="s">
        <v>46</v>
      </c>
      <c r="J116" s="11" t="s">
        <v>46</v>
      </c>
    </row>
    <row r="117" spans="1:10" ht="33.75" x14ac:dyDescent="0.6">
      <c r="A117" s="34"/>
      <c r="B117" s="36" t="s">
        <v>50</v>
      </c>
      <c r="C117" s="8" t="s">
        <v>51</v>
      </c>
      <c r="D117" s="9" t="s">
        <v>46</v>
      </c>
      <c r="E117" s="9" t="s">
        <v>46</v>
      </c>
      <c r="F117" s="9" t="s">
        <v>46</v>
      </c>
      <c r="G117" s="9">
        <v>-14</v>
      </c>
      <c r="H117" s="9" t="s">
        <v>46</v>
      </c>
      <c r="I117" s="9">
        <v>-14</v>
      </c>
      <c r="J117" s="11">
        <v>-14</v>
      </c>
    </row>
    <row r="118" spans="1:10" ht="22.5" x14ac:dyDescent="0.6">
      <c r="A118" s="34"/>
      <c r="B118" s="37"/>
      <c r="C118" s="8" t="s">
        <v>20</v>
      </c>
      <c r="D118" s="9" t="s">
        <v>46</v>
      </c>
      <c r="E118" s="9" t="s">
        <v>46</v>
      </c>
      <c r="F118" s="9" t="s">
        <v>46</v>
      </c>
      <c r="G118" s="9" t="s">
        <v>46</v>
      </c>
      <c r="H118" s="9" t="s">
        <v>46</v>
      </c>
      <c r="I118" s="9" t="s">
        <v>46</v>
      </c>
      <c r="J118" s="11" t="s">
        <v>46</v>
      </c>
    </row>
    <row r="119" spans="1:10" x14ac:dyDescent="0.6">
      <c r="A119" s="34"/>
      <c r="B119" s="38"/>
      <c r="C119" s="8" t="s">
        <v>21</v>
      </c>
      <c r="D119" s="9" t="s">
        <v>46</v>
      </c>
      <c r="E119" s="9" t="s">
        <v>46</v>
      </c>
      <c r="F119" s="9" t="s">
        <v>46</v>
      </c>
      <c r="G119" s="9" t="s">
        <v>46</v>
      </c>
      <c r="H119" s="9" t="s">
        <v>46</v>
      </c>
      <c r="I119" s="9" t="s">
        <v>46</v>
      </c>
      <c r="J119" s="11" t="s">
        <v>46</v>
      </c>
    </row>
    <row r="120" spans="1:10" ht="45" x14ac:dyDescent="0.6">
      <c r="A120" s="34"/>
      <c r="B120" s="8" t="s">
        <v>52</v>
      </c>
      <c r="C120" s="8" t="s">
        <v>61</v>
      </c>
      <c r="D120" s="9" t="s">
        <v>46</v>
      </c>
      <c r="E120" s="9" t="s">
        <v>46</v>
      </c>
      <c r="F120" s="9" t="s">
        <v>46</v>
      </c>
      <c r="G120" s="9" t="s">
        <v>46</v>
      </c>
      <c r="H120" s="9" t="s">
        <v>46</v>
      </c>
      <c r="I120" s="9" t="s">
        <v>46</v>
      </c>
      <c r="J120" s="11" t="s">
        <v>46</v>
      </c>
    </row>
    <row r="121" spans="1:10" ht="22.5" x14ac:dyDescent="0.6">
      <c r="A121" s="34"/>
      <c r="B121" s="36" t="s">
        <v>54</v>
      </c>
      <c r="C121" s="8" t="s">
        <v>22</v>
      </c>
      <c r="D121" s="9" t="s">
        <v>46</v>
      </c>
      <c r="E121" s="9" t="s">
        <v>46</v>
      </c>
      <c r="F121" s="9" t="s">
        <v>46</v>
      </c>
      <c r="G121" s="9" t="s">
        <v>46</v>
      </c>
      <c r="H121" s="9" t="s">
        <v>46</v>
      </c>
      <c r="I121" s="9" t="s">
        <v>46</v>
      </c>
      <c r="J121" s="11" t="s">
        <v>46</v>
      </c>
    </row>
    <row r="122" spans="1:10" ht="22.5" x14ac:dyDescent="0.6">
      <c r="A122" s="34"/>
      <c r="B122" s="37"/>
      <c r="C122" s="8" t="s">
        <v>23</v>
      </c>
      <c r="D122" s="9" t="s">
        <v>46</v>
      </c>
      <c r="E122" s="9" t="s">
        <v>46</v>
      </c>
      <c r="F122" s="9" t="s">
        <v>46</v>
      </c>
      <c r="G122" s="9" t="s">
        <v>46</v>
      </c>
      <c r="H122" s="9" t="s">
        <v>46</v>
      </c>
      <c r="I122" s="9" t="s">
        <v>46</v>
      </c>
      <c r="J122" s="11" t="s">
        <v>46</v>
      </c>
    </row>
    <row r="123" spans="1:10" ht="56.25" x14ac:dyDescent="0.6">
      <c r="A123" s="34"/>
      <c r="B123" s="38"/>
      <c r="C123" s="8" t="s">
        <v>55</v>
      </c>
      <c r="D123" s="9">
        <v>-565</v>
      </c>
      <c r="E123" s="9" t="s">
        <v>46</v>
      </c>
      <c r="F123" s="9" t="s">
        <v>46</v>
      </c>
      <c r="G123" s="9" t="s">
        <v>46</v>
      </c>
      <c r="H123" s="9" t="s">
        <v>46</v>
      </c>
      <c r="I123" s="9" t="s">
        <v>46</v>
      </c>
      <c r="J123" s="11">
        <v>-565</v>
      </c>
    </row>
    <row r="124" spans="1:10" ht="33.75" x14ac:dyDescent="0.6">
      <c r="A124" s="34"/>
      <c r="B124" s="36" t="s">
        <v>56</v>
      </c>
      <c r="C124" s="8" t="s">
        <v>24</v>
      </c>
      <c r="D124" s="9">
        <v>133</v>
      </c>
      <c r="E124" s="9">
        <v>-3</v>
      </c>
      <c r="F124" s="9" t="s">
        <v>46</v>
      </c>
      <c r="G124" s="9">
        <v>4</v>
      </c>
      <c r="H124" s="9" t="s">
        <v>46</v>
      </c>
      <c r="I124" s="9">
        <v>4</v>
      </c>
      <c r="J124" s="11">
        <v>134</v>
      </c>
    </row>
    <row r="125" spans="1:10" ht="33.75" x14ac:dyDescent="0.6">
      <c r="A125" s="34"/>
      <c r="B125" s="38"/>
      <c r="C125" s="8" t="s">
        <v>25</v>
      </c>
      <c r="D125" s="9">
        <v>151</v>
      </c>
      <c r="E125" s="9">
        <v>3</v>
      </c>
      <c r="F125" s="9" t="s">
        <v>46</v>
      </c>
      <c r="G125" s="9" t="s">
        <v>46</v>
      </c>
      <c r="H125" s="9" t="s">
        <v>46</v>
      </c>
      <c r="I125" s="9" t="s">
        <v>46</v>
      </c>
      <c r="J125" s="11">
        <v>154</v>
      </c>
    </row>
    <row r="126" spans="1:10" x14ac:dyDescent="0.6">
      <c r="A126" s="34"/>
      <c r="B126" s="39" t="s">
        <v>26</v>
      </c>
      <c r="C126" s="40"/>
      <c r="D126" s="9" t="s">
        <v>46</v>
      </c>
      <c r="E126" s="9" t="s">
        <v>46</v>
      </c>
      <c r="F126" s="9" t="s">
        <v>46</v>
      </c>
      <c r="G126" s="9" t="s">
        <v>46</v>
      </c>
      <c r="H126" s="9" t="s">
        <v>46</v>
      </c>
      <c r="I126" s="9" t="s">
        <v>46</v>
      </c>
      <c r="J126" s="11" t="s">
        <v>46</v>
      </c>
    </row>
    <row r="127" spans="1:10" ht="22.5" x14ac:dyDescent="0.6">
      <c r="A127" s="34"/>
      <c r="B127" s="36" t="s">
        <v>57</v>
      </c>
      <c r="C127" s="8" t="s">
        <v>45</v>
      </c>
      <c r="D127" s="9" t="s">
        <v>46</v>
      </c>
      <c r="E127" s="9" t="s">
        <v>46</v>
      </c>
      <c r="F127" s="9" t="s">
        <v>46</v>
      </c>
      <c r="G127" s="9" t="s">
        <v>46</v>
      </c>
      <c r="H127" s="9" t="s">
        <v>46</v>
      </c>
      <c r="I127" s="9" t="s">
        <v>46</v>
      </c>
      <c r="J127" s="11" t="s">
        <v>46</v>
      </c>
    </row>
    <row r="128" spans="1:10" ht="22.5" x14ac:dyDescent="0.6">
      <c r="A128" s="34"/>
      <c r="B128" s="37"/>
      <c r="C128" s="8" t="s">
        <v>47</v>
      </c>
      <c r="D128" s="10">
        <v>16031</v>
      </c>
      <c r="E128" s="9" t="s">
        <v>46</v>
      </c>
      <c r="F128" s="9" t="s">
        <v>46</v>
      </c>
      <c r="G128" s="9">
        <v>654</v>
      </c>
      <c r="H128" s="9" t="s">
        <v>46</v>
      </c>
      <c r="I128" s="9">
        <v>654</v>
      </c>
      <c r="J128" s="12">
        <v>16685</v>
      </c>
    </row>
    <row r="129" spans="1:10" x14ac:dyDescent="0.6">
      <c r="A129" s="35"/>
      <c r="B129" s="38"/>
      <c r="C129" s="8" t="s">
        <v>58</v>
      </c>
      <c r="D129" s="10">
        <v>16031</v>
      </c>
      <c r="E129" s="9" t="s">
        <v>46</v>
      </c>
      <c r="F129" s="9" t="s">
        <v>46</v>
      </c>
      <c r="G129" s="9">
        <v>654</v>
      </c>
      <c r="H129" s="9" t="s">
        <v>46</v>
      </c>
      <c r="I129" s="9">
        <v>654</v>
      </c>
      <c r="J129" s="12">
        <v>16685</v>
      </c>
    </row>
  </sheetData>
  <mergeCells count="77">
    <mergeCell ref="A111:A129"/>
    <mergeCell ref="B111:B113"/>
    <mergeCell ref="B114:B116"/>
    <mergeCell ref="B117:B119"/>
    <mergeCell ref="B121:B123"/>
    <mergeCell ref="B124:B125"/>
    <mergeCell ref="B126:C126"/>
    <mergeCell ref="B127:B129"/>
    <mergeCell ref="A106:J106"/>
    <mergeCell ref="A107:C110"/>
    <mergeCell ref="D107:I107"/>
    <mergeCell ref="J107:J110"/>
    <mergeCell ref="F108:I108"/>
    <mergeCell ref="G109:G110"/>
    <mergeCell ref="I109:I110"/>
    <mergeCell ref="A85:A103"/>
    <mergeCell ref="B85:B87"/>
    <mergeCell ref="B88:B90"/>
    <mergeCell ref="B91:B93"/>
    <mergeCell ref="B95:B97"/>
    <mergeCell ref="B98:B99"/>
    <mergeCell ref="B100:C100"/>
    <mergeCell ref="B101:B103"/>
    <mergeCell ref="A80:J80"/>
    <mergeCell ref="A81:C84"/>
    <mergeCell ref="D81:I81"/>
    <mergeCell ref="J81:J84"/>
    <mergeCell ref="F82:I82"/>
    <mergeCell ref="G83:G84"/>
    <mergeCell ref="I83:I84"/>
    <mergeCell ref="A59:A77"/>
    <mergeCell ref="B59:B61"/>
    <mergeCell ref="B62:B64"/>
    <mergeCell ref="B65:B67"/>
    <mergeCell ref="B69:B71"/>
    <mergeCell ref="B72:B73"/>
    <mergeCell ref="B74:C74"/>
    <mergeCell ref="B75:B77"/>
    <mergeCell ref="A54:J54"/>
    <mergeCell ref="A55:C58"/>
    <mergeCell ref="D55:I55"/>
    <mergeCell ref="J55:J58"/>
    <mergeCell ref="F56:I56"/>
    <mergeCell ref="G57:G58"/>
    <mergeCell ref="I57:I58"/>
    <mergeCell ref="A33:A51"/>
    <mergeCell ref="B33:B35"/>
    <mergeCell ref="B36:B38"/>
    <mergeCell ref="B39:B41"/>
    <mergeCell ref="B43:B45"/>
    <mergeCell ref="B46:B47"/>
    <mergeCell ref="B48:C48"/>
    <mergeCell ref="B49:B51"/>
    <mergeCell ref="A28:J28"/>
    <mergeCell ref="A29:C32"/>
    <mergeCell ref="D29:I29"/>
    <mergeCell ref="J29:J32"/>
    <mergeCell ref="F30:I30"/>
    <mergeCell ref="F31:F32"/>
    <mergeCell ref="G31:G32"/>
    <mergeCell ref="I31:I32"/>
    <mergeCell ref="A7:A25"/>
    <mergeCell ref="B7:B9"/>
    <mergeCell ref="B10:B12"/>
    <mergeCell ref="B13:B15"/>
    <mergeCell ref="B17:B19"/>
    <mergeCell ref="B20:B21"/>
    <mergeCell ref="B22:C22"/>
    <mergeCell ref="B23:B25"/>
    <mergeCell ref="A2:J2"/>
    <mergeCell ref="A3:C6"/>
    <mergeCell ref="D3:I3"/>
    <mergeCell ref="J3:J6"/>
    <mergeCell ref="F4:I4"/>
    <mergeCell ref="F5:F6"/>
    <mergeCell ref="G5:G6"/>
    <mergeCell ref="I5:I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2026-06-03T13:49:01Z</dcterms:modified>
</cp:coreProperties>
</file>