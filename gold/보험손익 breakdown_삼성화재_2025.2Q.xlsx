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A894E5ED-D6BE-415F-9FC2-155088EB786B}" xr6:coauthVersionLast="47" xr6:coauthVersionMax="47" xr10:uidLastSave="{00000000-0000-0000-0000-000000000000}"/>
  <bookViews>
    <workbookView xWindow="22944" yWindow="0" windowWidth="23232" windowHeight="18576" xr2:uid="{B186C083-72FA-4707-BBE5-A56EC0A2D05F}"/>
  </bookViews>
  <sheets>
    <sheet name="Sheet1" sheetId="4" r:id="rId1"/>
    <sheet name="보험손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4" l="1"/>
  <c r="H15" i="4"/>
  <c r="H14" i="4"/>
  <c r="H12" i="4"/>
  <c r="H11" i="4"/>
  <c r="H10" i="4"/>
  <c r="H9" i="4"/>
  <c r="H7" i="4"/>
  <c r="H6" i="4"/>
  <c r="H5" i="4"/>
  <c r="H4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13" i="4" l="1"/>
  <c r="H3" i="4"/>
  <c r="H2" i="4" s="1"/>
  <c r="H8" i="4"/>
  <c r="E3" i="4"/>
  <c r="E4" i="4" s="1"/>
  <c r="E5" i="4" s="1"/>
  <c r="E6" i="4" s="1"/>
  <c r="E7" i="4" s="1"/>
</calcChain>
</file>

<file path=xl/sharedStrings.xml><?xml version="1.0" encoding="utf-8"?>
<sst xmlns="http://schemas.openxmlformats.org/spreadsheetml/2006/main" count="229" uniqueCount="78">
  <si>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</si>
  <si>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</si>
  <si>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</si>
  <si>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</si>
  <si>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</si>
  <si>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</si>
  <si>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</si>
  <si>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</si>
  <si>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</si>
  <si>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</si>
  <si>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</si>
  <si>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</si>
  <si>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</si>
  <si>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</si>
  <si>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</si>
  <si>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</si>
  <si>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</si>
  <si>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</si>
  <si>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</si>
  <si>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</si>
  <si>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</si>
  <si>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</si>
  <si>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</si>
  <si>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</si>
  <si>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</si>
  <si>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</si>
  <si>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</si>
  <si>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</si>
  <si>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</si>
  <si>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</si>
  <si>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</si>
  <si>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</si>
  <si>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</si>
  <si>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</si>
  <si>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</si>
  <si>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보험수익</t>
  </si>
  <si>
    <t>2025.2Q</t>
    <phoneticPr fontId="2" type="noConversion"/>
  </si>
  <si>
    <t>(단위 : 백만원)</t>
  </si>
  <si>
    <t>3개월</t>
  </si>
  <si>
    <t>누적</t>
  </si>
  <si>
    <t>발행보험의 보험수익 분석 공시</t>
  </si>
  <si>
    <t>당반기</t>
  </si>
  <si>
    <t>보험계약의 세분</t>
  </si>
  <si>
    <t>발행한 보험계약</t>
  </si>
  <si>
    <t>계약의 유형</t>
  </si>
  <si>
    <t>계약의 유형  합계</t>
  </si>
  <si>
    <t>장기보험</t>
  </si>
  <si>
    <t>일반보험</t>
  </si>
  <si>
    <t>자동차보험</t>
  </si>
  <si>
    <t>보험수익, 보험취득 현금흐름의 회수와 관련되는 보험료 부분의 배분액</t>
  </si>
  <si>
    <t>보험수익, 비금융위험에 대한 위험조정의 변동분</t>
  </si>
  <si>
    <t>보험수익, 서비스의 이전으로 당기손익에 인식한 보험계약마진</t>
  </si>
  <si>
    <t>발행보험의 보험서비스비용 분석 공시</t>
  </si>
  <si>
    <t>발행한 보험계약에서 생기는 보험서비스비용</t>
  </si>
  <si>
    <t>재보험비용의 보험서비스비용 분석 공시</t>
  </si>
  <si>
    <t>보유 재보험계약</t>
  </si>
  <si>
    <t>재보험자에게서 회수한 금액에서 생기는 수익</t>
  </si>
  <si>
    <t>재보험비용 분석 공시</t>
  </si>
  <si>
    <t>재보험비용, 비금융위험에 대한 위험조정의 변동분</t>
  </si>
  <si>
    <t>재보험비용, 서비스의 이전으로 당기손익에 인식한 보험계약마진</t>
  </si>
  <si>
    <t>재보험비용, 그 밖의 금액</t>
  </si>
  <si>
    <t>재보험자에게 지급된 보험료 배분액에서 생기는 비용</t>
  </si>
  <si>
    <t>25. 보험서비스결과</t>
  </si>
  <si>
    <t>보험수익, 보고기간에 발생한 보험서비스비용 (기초 예상 측정치)</t>
  </si>
  <si>
    <t>보험수익, 그 밖의 금액</t>
  </si>
  <si>
    <t>총 보험수익, 잔여보장부채의 변동분과 관련되는 금액</t>
  </si>
  <si>
    <t>보험서비스비용, 발생한 보험금 및 그 밖의 발생한 보험서비스비용</t>
  </si>
  <si>
    <t>보험서비스비용, 과거 서비스와 관련된 금액</t>
  </si>
  <si>
    <t>보험서비스비용, 미래 서비스와 관련된 변동분에 관련된 금액</t>
  </si>
  <si>
    <t>보험서비스비용, 보험취득 현금흐름의 상각에 따른 금액</t>
  </si>
  <si>
    <t>26. 재보험서비스결과</t>
  </si>
  <si>
    <t>재보험비용, 보고기간에 발생한 보험서비스비용 (기초 예상 측정치)</t>
  </si>
  <si>
    <t>총 재보험비용, 잔여보장부채의 변동분과 관련되는 금액</t>
  </si>
  <si>
    <t>재보험수익, 발생한 보험금 및 그 밖의 발생한 보험서비스비용</t>
  </si>
  <si>
    <t>재보험수익, 과거 서비스와 관련된 금액</t>
  </si>
  <si>
    <t>재보험수익, 미래 서비스와 관련된 변동분에 관련된 금액</t>
  </si>
  <si>
    <t>KR0008</t>
    <phoneticPr fontId="2" type="noConversion"/>
  </si>
  <si>
    <t>삼성화재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</si>
</sst>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/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0" xfId="0" applyAlignment="1"/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L25"/>
  <sheetViews>
    <sheetView tabSelected="1" workbookViewId="0"/>
  </sheetViews>
  <sheetFormatPr defaultRowHeight="17.399999999999999" x14ac:dyDescent="0.4"/>
  <cols>
    <col min="5" max="5" width="9.19921875" bestFit="1" customWidth="1"/>
    <col min="6" max="6" width="20.8984375" bestFit="1" customWidth="1"/>
    <col min="8" max="8" width="16.59765625" bestFit="1" customWidth="1"/>
  </cols>
  <sheetData>
    <row r="1" spans="1:12" x14ac:dyDescent="0.4">
      <c r="A1" s="9" t="s">
        <v>21</v>
      </c>
      <c r="B1" s="9" t="s">
        <v>20</v>
      </c>
      <c r="C1" s="9" t="s">
        <v>19</v>
      </c>
      <c r="D1" s="9" t="s">
        <v>18</v>
      </c>
      <c r="E1" s="9" t="s">
        <v>17</v>
      </c>
      <c r="F1" s="9" t="s">
        <v>16</v>
      </c>
      <c r="G1" s="9" t="s">
        <v>0</v>
      </c>
      <c r="H1" s="9" t="s">
        <v>15</v>
      </c>
      <c r="I1" s="9" t="s">
        <v>22</v>
      </c>
    </row>
    <row r="2" spans="1:12" x14ac:dyDescent="0.4">
      <c r="A2" s="9" t="s">
        <v>76</v>
      </c>
      <c r="B2" s="9" t="s">
        <v>77</v>
      </c>
      <c r="C2" s="9"/>
      <c r="D2" s="9" t="s">
        <v>3</v>
      </c>
      <c r="E2" s="9">
        <v>1</v>
      </c>
      <c r="F2" t="s">
        <v>14</v>
      </c>
      <c r="G2" s="9" t="s">
        <v>36</v>
      </c>
      <c r="H2" s="2">
        <f>H3+H14+H15+H16-H17</f>
        <v>935730.54449500004</v>
      </c>
      <c r="I2" s="2" t="b">
        <f>ABS(ROUND(H2,0)-935730.895605)&lt;2</f>
        <v>1</v>
      </c>
      <c r="L2" s="2"/>
    </row>
    <row r="3" spans="1:12" x14ac:dyDescent="0.4">
      <c r="A3" s="9" t="s">
        <v>76</v>
      </c>
      <c r="B3" s="9" t="s">
        <v>77</v>
      </c>
      <c r="C3" s="9"/>
      <c r="D3" s="9" t="s">
        <v>3</v>
      </c>
      <c r="E3">
        <f t="shared" ref="E3" si="0">E2+1</f>
        <v>2</v>
      </c>
      <c r="F3" t="s">
        <v>23</v>
      </c>
      <c r="G3" t="s">
        <v>36</v>
      </c>
      <c r="H3" s="2">
        <f>H4+H9</f>
        <v>885716</v>
      </c>
    </row>
    <row r="4" spans="1:12" x14ac:dyDescent="0.4">
      <c r="A4" s="9" t="s">
        <v>76</v>
      </c>
      <c r="B4" s="9" t="s">
        <v>77</v>
      </c>
      <c r="C4" s="9"/>
      <c r="D4" s="9" t="s">
        <v>3</v>
      </c>
      <c r="E4">
        <f t="shared" ref="E4:E7" si="1">E3+1</f>
        <v>3</v>
      </c>
      <c r="F4" t="s">
        <v>24</v>
      </c>
      <c r="G4" t="s">
        <v>36</v>
      </c>
      <c r="H4" s="2">
        <f>보험손익!D11-보험손익!D27</f>
        <v>904454</v>
      </c>
    </row>
    <row r="5" spans="1:12" x14ac:dyDescent="0.4">
      <c r="A5" s="9" t="s">
        <v>76</v>
      </c>
      <c r="B5" s="9" t="s">
        <v>77</v>
      </c>
      <c r="C5" s="9"/>
      <c r="D5" s="9" t="s">
        <v>3</v>
      </c>
      <c r="E5">
        <f t="shared" si="1"/>
        <v>4</v>
      </c>
      <c r="F5" t="s">
        <v>27</v>
      </c>
      <c r="G5" t="s">
        <v>36</v>
      </c>
      <c r="H5" s="2">
        <f>보험손익!D14</f>
        <v>812438</v>
      </c>
      <c r="K5" s="2"/>
    </row>
    <row r="6" spans="1:12" x14ac:dyDescent="0.4">
      <c r="A6" s="9" t="s">
        <v>76</v>
      </c>
      <c r="B6" s="9" t="s">
        <v>77</v>
      </c>
      <c r="C6" s="9"/>
      <c r="D6" s="9" t="s">
        <v>3</v>
      </c>
      <c r="E6">
        <f t="shared" si="1"/>
        <v>5</v>
      </c>
      <c r="F6" t="s">
        <v>28</v>
      </c>
      <c r="G6" t="s">
        <v>36</v>
      </c>
      <c r="H6" s="2">
        <f>보험손익!D13</f>
        <v>91431</v>
      </c>
      <c r="K6" s="2"/>
    </row>
    <row r="7" spans="1:12" x14ac:dyDescent="0.4">
      <c r="A7" s="9" t="s">
        <v>76</v>
      </c>
      <c r="B7" s="9" t="s">
        <v>77</v>
      </c>
      <c r="C7" s="9"/>
      <c r="D7" s="9" t="s">
        <v>3</v>
      </c>
      <c r="E7">
        <f t="shared" si="1"/>
        <v>6</v>
      </c>
      <c r="F7" t="s">
        <v>29</v>
      </c>
      <c r="G7" t="s">
        <v>36</v>
      </c>
      <c r="H7" s="2">
        <f>보험손익!D12-보험손익!D28</f>
        <v>-91759</v>
      </c>
      <c r="K7" s="2"/>
    </row>
    <row r="8" spans="1:12" x14ac:dyDescent="0.4">
      <c r="A8" s="9" t="s">
        <v>76</v>
      </c>
      <c r="B8" s="9" t="s">
        <v>77</v>
      </c>
      <c r="C8" s="9"/>
      <c r="D8" s="9" t="s">
        <v>26</v>
      </c>
      <c r="E8">
        <f t="shared" ref="E8:E25" si="2">E7+1</f>
        <v>7</v>
      </c>
      <c r="F8" t="s">
        <v>30</v>
      </c>
      <c r="G8" t="s">
        <v>36</v>
      </c>
      <c r="H8" s="2">
        <f>H4-SUM(H5:H7)</f>
        <v>92344</v>
      </c>
      <c r="K8" s="2"/>
    </row>
    <row r="9" spans="1:12" x14ac:dyDescent="0.4">
      <c r="A9" s="9" t="s">
        <v>76</v>
      </c>
      <c r="B9" s="9" t="s">
        <v>77</v>
      </c>
      <c r="C9" s="9"/>
      <c r="D9" s="9" t="s">
        <v>26</v>
      </c>
      <c r="E9">
        <f t="shared" si="2"/>
        <v>8</v>
      </c>
      <c r="F9" t="s">
        <v>25</v>
      </c>
      <c r="G9" t="s">
        <v>36</v>
      </c>
      <c r="H9" s="2">
        <f>-보험손익!D42+보험손익!D56</f>
        <v>-18738</v>
      </c>
      <c r="K9" s="2"/>
    </row>
    <row r="10" spans="1:12" x14ac:dyDescent="0.4">
      <c r="A10" s="9" t="s">
        <v>76</v>
      </c>
      <c r="B10" s="9" t="s">
        <v>77</v>
      </c>
      <c r="C10" s="9"/>
      <c r="D10" s="9" t="s">
        <v>26</v>
      </c>
      <c r="E10">
        <f t="shared" si="2"/>
        <v>9</v>
      </c>
      <c r="F10" t="s">
        <v>31</v>
      </c>
      <c r="G10" t="s">
        <v>36</v>
      </c>
      <c r="H10" s="2">
        <f>-보험손익!D45</f>
        <v>-23381</v>
      </c>
      <c r="K10" s="2"/>
    </row>
    <row r="11" spans="1:12" x14ac:dyDescent="0.4">
      <c r="A11" s="9" t="s">
        <v>76</v>
      </c>
      <c r="B11" s="9" t="s">
        <v>77</v>
      </c>
      <c r="C11" s="9"/>
      <c r="D11" s="9" t="s">
        <v>26</v>
      </c>
      <c r="E11">
        <f t="shared" si="2"/>
        <v>10</v>
      </c>
      <c r="F11" t="s">
        <v>32</v>
      </c>
      <c r="G11" t="s">
        <v>36</v>
      </c>
      <c r="H11" s="2">
        <f>-보험손익!D44</f>
        <v>-8199</v>
      </c>
      <c r="K11" s="2"/>
    </row>
    <row r="12" spans="1:12" x14ac:dyDescent="0.4">
      <c r="A12" s="9" t="s">
        <v>76</v>
      </c>
      <c r="B12" s="9" t="s">
        <v>77</v>
      </c>
      <c r="C12" s="9"/>
      <c r="D12" s="9" t="s">
        <v>26</v>
      </c>
      <c r="E12">
        <f t="shared" si="2"/>
        <v>11</v>
      </c>
      <c r="F12" t="s">
        <v>33</v>
      </c>
      <c r="G12" t="s">
        <v>36</v>
      </c>
      <c r="H12" s="2">
        <f>-보험손익!D43+보험손익!D57</f>
        <v>-30724</v>
      </c>
      <c r="K12" s="2"/>
    </row>
    <row r="13" spans="1:12" x14ac:dyDescent="0.4">
      <c r="A13" s="9" t="s">
        <v>76</v>
      </c>
      <c r="B13" s="9" t="s">
        <v>77</v>
      </c>
      <c r="C13" s="9"/>
      <c r="D13" s="9" t="s">
        <v>26</v>
      </c>
      <c r="E13">
        <f t="shared" si="2"/>
        <v>12</v>
      </c>
      <c r="F13" t="s">
        <v>34</v>
      </c>
      <c r="G13" t="s">
        <v>36</v>
      </c>
      <c r="H13" s="2">
        <f>H9-SUM(H10:H12)</f>
        <v>43566</v>
      </c>
      <c r="K13" s="2"/>
    </row>
    <row r="14" spans="1:12" x14ac:dyDescent="0.4">
      <c r="A14" s="9" t="s">
        <v>76</v>
      </c>
      <c r="B14" s="9" t="s">
        <v>77</v>
      </c>
      <c r="C14" s="9"/>
      <c r="D14" s="9" t="s">
        <v>26</v>
      </c>
      <c r="E14">
        <f t="shared" si="2"/>
        <v>13</v>
      </c>
      <c r="F14" t="s">
        <v>13</v>
      </c>
      <c r="G14" t="s">
        <v>36</v>
      </c>
      <c r="H14" s="2">
        <f>보험손익!F11-보험손익!F27-보험손익!F42+보험손익!F56</f>
        <v>54948</v>
      </c>
      <c r="J14" s="2"/>
    </row>
    <row r="15" spans="1:12" x14ac:dyDescent="0.4">
      <c r="A15" s="9" t="s">
        <v>76</v>
      </c>
      <c r="B15" s="9" t="s">
        <v>77</v>
      </c>
      <c r="C15" s="9"/>
      <c r="D15" s="9" t="s">
        <v>3</v>
      </c>
      <c r="E15">
        <f t="shared" si="2"/>
        <v>14</v>
      </c>
      <c r="F15" t="s">
        <v>12</v>
      </c>
      <c r="G15" t="s">
        <v>36</v>
      </c>
      <c r="H15" s="2">
        <f>보험손익!H11-보험손익!H27-보험손익!H42+보험손익!H56</f>
        <v>121091</v>
      </c>
    </row>
    <row r="16" spans="1:12" x14ac:dyDescent="0.4">
      <c r="A16" s="9" t="s">
        <v>76</v>
      </c>
      <c r="B16" s="9" t="s">
        <v>77</v>
      </c>
      <c r="C16" s="9"/>
      <c r="D16" s="9" t="s">
        <v>3</v>
      </c>
      <c r="E16">
        <f t="shared" si="2"/>
        <v>15</v>
      </c>
      <c r="F16" t="s">
        <v>8</v>
      </c>
      <c r="G16" t="s">
        <v>36</v>
      </c>
      <c r="H16" s="2"/>
    </row>
    <row r="17" spans="1:9" x14ac:dyDescent="0.4">
      <c r="A17" s="9" t="s">
        <v>76</v>
      </c>
      <c r="B17" s="9" t="s">
        <v>77</v>
      </c>
      <c r="C17" s="9"/>
      <c r="D17" s="9" t="s">
        <v>3</v>
      </c>
      <c r="E17">
        <f t="shared" si="2"/>
        <v>16</v>
      </c>
      <c r="F17" t="s">
        <v>7</v>
      </c>
      <c r="G17" t="s">
        <v>36</v>
      </c>
      <c r="H17" s="2">
        <v>126024.45550500001</v>
      </c>
    </row>
    <row r="18" spans="1:9" x14ac:dyDescent="0.4">
      <c r="A18" s="9" t="s">
        <v>76</v>
      </c>
      <c r="B18" s="9" t="s">
        <v>77</v>
      </c>
      <c r="C18" s="9"/>
      <c r="D18" s="9" t="s">
        <v>3</v>
      </c>
      <c r="E18">
        <f t="shared" si="2"/>
        <v>17</v>
      </c>
      <c r="F18" t="s">
        <v>11</v>
      </c>
      <c r="G18" t="s">
        <v>36</v>
      </c>
      <c r="H18" s="2"/>
    </row>
    <row r="19" spans="1:9" x14ac:dyDescent="0.4">
      <c r="A19" s="9" t="s">
        <v>76</v>
      </c>
      <c r="B19" s="9" t="s">
        <v>77</v>
      </c>
      <c r="C19" s="9"/>
      <c r="D19" s="9" t="s">
        <v>3</v>
      </c>
      <c r="E19">
        <f t="shared" si="2"/>
        <v>18</v>
      </c>
      <c r="F19" t="s">
        <v>10</v>
      </c>
      <c r="G19" t="s">
        <v>36</v>
      </c>
      <c r="H19" s="2"/>
    </row>
    <row r="20" spans="1:9" x14ac:dyDescent="0.4">
      <c r="A20" s="9" t="s">
        <v>76</v>
      </c>
      <c r="B20" s="9" t="s">
        <v>77</v>
      </c>
      <c r="C20" s="9"/>
      <c r="D20" s="9" t="s">
        <v>3</v>
      </c>
      <c r="E20">
        <f t="shared" si="2"/>
        <v>19</v>
      </c>
      <c r="F20" t="s">
        <v>9</v>
      </c>
      <c r="G20" t="s">
        <v>36</v>
      </c>
      <c r="H20" s="2"/>
    </row>
    <row r="21" spans="1:9" x14ac:dyDescent="0.4">
      <c r="A21" s="9" t="s">
        <v>76</v>
      </c>
      <c r="B21" s="9" t="s">
        <v>77</v>
      </c>
      <c r="C21" s="9"/>
      <c r="D21" s="9" t="s">
        <v>3</v>
      </c>
      <c r="E21">
        <f t="shared" si="2"/>
        <v>20</v>
      </c>
      <c r="F21" t="s">
        <v>1</v>
      </c>
      <c r="G21" t="s">
        <v>36</v>
      </c>
      <c r="H21" s="2"/>
    </row>
    <row r="22" spans="1:9" x14ac:dyDescent="0.4">
      <c r="A22" s="9" t="s">
        <v>76</v>
      </c>
      <c r="B22" s="9" t="s">
        <v>77</v>
      </c>
      <c r="C22" s="9"/>
      <c r="D22" s="9" t="s">
        <v>3</v>
      </c>
      <c r="E22">
        <f t="shared" si="2"/>
        <v>21</v>
      </c>
      <c r="F22" t="s">
        <v>6</v>
      </c>
      <c r="G22" t="s">
        <v>36</v>
      </c>
      <c r="H22" s="2"/>
    </row>
    <row r="23" spans="1:9" x14ac:dyDescent="0.4">
      <c r="A23" s="9" t="s">
        <v>76</v>
      </c>
      <c r="B23" s="9" t="s">
        <v>77</v>
      </c>
      <c r="C23" s="9"/>
      <c r="D23" s="9" t="s">
        <v>3</v>
      </c>
      <c r="E23">
        <f t="shared" si="2"/>
        <v>22</v>
      </c>
      <c r="F23" t="s">
        <v>5</v>
      </c>
      <c r="G23" t="s">
        <v>36</v>
      </c>
      <c r="H23" s="2"/>
    </row>
    <row r="24" spans="1:9" x14ac:dyDescent="0.4">
      <c r="A24" s="9" t="s">
        <v>76</v>
      </c>
      <c r="B24" s="9" t="s">
        <v>77</v>
      </c>
      <c r="C24" s="9"/>
      <c r="D24" s="9" t="s">
        <v>3</v>
      </c>
      <c r="E24">
        <f t="shared" si="2"/>
        <v>23</v>
      </c>
      <c r="F24" t="s">
        <v>4</v>
      </c>
      <c r="G24" t="s">
        <v>36</v>
      </c>
      <c r="H24" s="2"/>
    </row>
    <row r="25" spans="1:9" x14ac:dyDescent="0.4">
      <c r="A25" s="9" t="s">
        <v>76</v>
      </c>
      <c r="B25" s="9" t="s">
        <v>77</v>
      </c>
      <c r="C25" s="9"/>
      <c r="D25" s="9" t="s">
        <v>3</v>
      </c>
      <c r="E25">
        <f t="shared" si="2"/>
        <v>24</v>
      </c>
      <c r="F25" t="s">
        <v>2</v>
      </c>
      <c r="G25" t="s">
        <v>36</v>
      </c>
      <c r="H25" s="2"/>
      <c r="I2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1:J62"/>
  <sheetViews>
    <sheetView zoomScaleNormal="100" workbookViewId="0">
      <pane xSplit="1" ySplit="1" topLeftCell="B47" activePane="bottomRight" state="frozen"/>
      <selection pane="topRight" activeCell="D1" sqref="D1"/>
      <selection pane="bottomLeft" activeCell="A2" sqref="A2"/>
      <selection pane="bottomRight" activeCell="A42" sqref="A42:B42"/>
    </sheetView>
  </sheetViews>
  <sheetFormatPr defaultRowHeight="17.399999999999999" x14ac:dyDescent="0.4"/>
  <sheetData>
    <row r="1" spans="1:10" ht="43.2" x14ac:dyDescent="0.4">
      <c r="A1" s="12" t="s">
        <v>62</v>
      </c>
    </row>
    <row r="2" spans="1:10" x14ac:dyDescent="0.4">
      <c r="A2" s="13"/>
    </row>
    <row r="3" spans="1:10" x14ac:dyDescent="0.4">
      <c r="A3" s="13"/>
    </row>
    <row r="4" spans="1:10" ht="28.8" customHeight="1" x14ac:dyDescent="0.4">
      <c r="A4" s="19" t="s">
        <v>40</v>
      </c>
      <c r="B4" s="19"/>
    </row>
    <row r="5" spans="1:10" ht="28.8" x14ac:dyDescent="0.4">
      <c r="A5" s="13" t="s">
        <v>41</v>
      </c>
      <c r="B5" s="11" t="s">
        <v>37</v>
      </c>
    </row>
    <row r="6" spans="1:10" x14ac:dyDescent="0.4">
      <c r="A6" s="14"/>
      <c r="B6" s="30"/>
      <c r="C6" s="20" t="s">
        <v>42</v>
      </c>
      <c r="D6" s="21"/>
      <c r="E6" s="21"/>
      <c r="F6" s="21"/>
      <c r="G6" s="21"/>
      <c r="H6" s="21"/>
      <c r="I6" s="21"/>
      <c r="J6" s="22"/>
    </row>
    <row r="7" spans="1:10" x14ac:dyDescent="0.4">
      <c r="A7" s="15"/>
      <c r="B7" s="1"/>
      <c r="C7" s="17" t="s">
        <v>43</v>
      </c>
      <c r="D7" s="23"/>
      <c r="E7" s="23"/>
      <c r="F7" s="23"/>
      <c r="G7" s="23"/>
      <c r="H7" s="23"/>
      <c r="I7" s="23"/>
      <c r="J7" s="24"/>
    </row>
    <row r="8" spans="1:10" ht="16.95" customHeight="1" x14ac:dyDescent="0.4">
      <c r="A8" s="15"/>
      <c r="B8" s="1"/>
      <c r="C8" s="17" t="s">
        <v>44</v>
      </c>
      <c r="D8" s="23"/>
      <c r="E8" s="23"/>
      <c r="F8" s="23"/>
      <c r="G8" s="23"/>
      <c r="H8" s="18"/>
      <c r="I8" s="25" t="s">
        <v>45</v>
      </c>
      <c r="J8" s="26"/>
    </row>
    <row r="9" spans="1:10" x14ac:dyDescent="0.4">
      <c r="A9" s="15"/>
      <c r="B9" s="1"/>
      <c r="C9" s="17" t="s">
        <v>46</v>
      </c>
      <c r="D9" s="18"/>
      <c r="E9" s="17" t="s">
        <v>48</v>
      </c>
      <c r="F9" s="18"/>
      <c r="G9" s="17" t="s">
        <v>47</v>
      </c>
      <c r="H9" s="18"/>
      <c r="I9" s="27"/>
      <c r="J9" s="28"/>
    </row>
    <row r="10" spans="1:10" x14ac:dyDescent="0.4">
      <c r="A10" s="15"/>
      <c r="B10" s="1"/>
      <c r="C10" s="1" t="s">
        <v>38</v>
      </c>
      <c r="D10" s="1" t="s">
        <v>39</v>
      </c>
      <c r="E10" s="1" t="s">
        <v>38</v>
      </c>
      <c r="F10" s="1" t="s">
        <v>39</v>
      </c>
      <c r="G10" s="1" t="s">
        <v>38</v>
      </c>
      <c r="H10" s="1" t="s">
        <v>39</v>
      </c>
      <c r="I10" s="1" t="s">
        <v>38</v>
      </c>
      <c r="J10" s="10" t="s">
        <v>39</v>
      </c>
    </row>
    <row r="11" spans="1:10" x14ac:dyDescent="0.4">
      <c r="A11" s="32" t="s">
        <v>35</v>
      </c>
      <c r="B11" s="33"/>
      <c r="C11" s="3">
        <v>2486201</v>
      </c>
      <c r="D11" s="3">
        <v>4958983</v>
      </c>
      <c r="E11" s="3">
        <v>1387876</v>
      </c>
      <c r="F11" s="3">
        <v>2765029</v>
      </c>
      <c r="G11" s="3">
        <v>676346</v>
      </c>
      <c r="H11" s="3">
        <v>1306378</v>
      </c>
      <c r="I11" s="3">
        <v>4550423</v>
      </c>
      <c r="J11" s="5">
        <v>9030390</v>
      </c>
    </row>
    <row r="12" spans="1:10" ht="115.2" x14ac:dyDescent="0.4">
      <c r="A12" s="34" t="s">
        <v>35</v>
      </c>
      <c r="B12" s="29" t="s">
        <v>63</v>
      </c>
      <c r="C12" s="3">
        <v>1653517</v>
      </c>
      <c r="D12" s="3">
        <v>3269011</v>
      </c>
      <c r="E12" s="4">
        <v>0</v>
      </c>
      <c r="F12" s="4">
        <v>0</v>
      </c>
      <c r="G12" s="4">
        <v>0</v>
      </c>
      <c r="H12" s="4">
        <v>0</v>
      </c>
      <c r="I12" s="3">
        <v>1653517</v>
      </c>
      <c r="J12" s="5">
        <v>3269011</v>
      </c>
    </row>
    <row r="13" spans="1:10" ht="72" x14ac:dyDescent="0.4">
      <c r="A13" s="35"/>
      <c r="B13" s="29" t="s">
        <v>50</v>
      </c>
      <c r="C13" s="3">
        <v>46790</v>
      </c>
      <c r="D13" s="3">
        <v>91431</v>
      </c>
      <c r="E13" s="4">
        <v>0</v>
      </c>
      <c r="F13" s="4">
        <v>0</v>
      </c>
      <c r="G13" s="4">
        <v>0</v>
      </c>
      <c r="H13" s="4">
        <v>0</v>
      </c>
      <c r="I13" s="3">
        <v>46790</v>
      </c>
      <c r="J13" s="5">
        <v>91431</v>
      </c>
    </row>
    <row r="14" spans="1:10" ht="100.8" x14ac:dyDescent="0.4">
      <c r="A14" s="35"/>
      <c r="B14" s="29" t="s">
        <v>51</v>
      </c>
      <c r="C14" s="3">
        <v>406417</v>
      </c>
      <c r="D14" s="3">
        <v>812438</v>
      </c>
      <c r="E14" s="4">
        <v>0</v>
      </c>
      <c r="F14" s="4">
        <v>0</v>
      </c>
      <c r="G14" s="4">
        <v>0</v>
      </c>
      <c r="H14" s="4">
        <v>0</v>
      </c>
      <c r="I14" s="3">
        <v>406417</v>
      </c>
      <c r="J14" s="5">
        <v>812438</v>
      </c>
    </row>
    <row r="15" spans="1:10" ht="115.2" x14ac:dyDescent="0.4">
      <c r="A15" s="35"/>
      <c r="B15" s="29" t="s">
        <v>49</v>
      </c>
      <c r="C15" s="3">
        <v>388231</v>
      </c>
      <c r="D15" s="3">
        <v>792090</v>
      </c>
      <c r="E15" s="4">
        <v>0</v>
      </c>
      <c r="F15" s="4">
        <v>0</v>
      </c>
      <c r="G15" s="4">
        <v>0</v>
      </c>
      <c r="H15" s="4">
        <v>0</v>
      </c>
      <c r="I15" s="3">
        <v>388231</v>
      </c>
      <c r="J15" s="5">
        <v>792090</v>
      </c>
    </row>
    <row r="16" spans="1:10" ht="43.2" x14ac:dyDescent="0.4">
      <c r="A16" s="35"/>
      <c r="B16" s="29" t="s">
        <v>64</v>
      </c>
      <c r="C16" s="3">
        <v>-8754</v>
      </c>
      <c r="D16" s="3">
        <v>-5987</v>
      </c>
      <c r="E16" s="4">
        <v>0</v>
      </c>
      <c r="F16" s="4">
        <v>0</v>
      </c>
      <c r="G16" s="4">
        <v>0</v>
      </c>
      <c r="H16" s="4">
        <v>0</v>
      </c>
      <c r="I16" s="3">
        <v>-8754</v>
      </c>
      <c r="J16" s="5">
        <v>-5987</v>
      </c>
    </row>
    <row r="17" spans="1:10" ht="86.4" x14ac:dyDescent="0.4">
      <c r="A17" s="36"/>
      <c r="B17" s="31" t="s">
        <v>65</v>
      </c>
      <c r="C17" s="16">
        <v>0</v>
      </c>
      <c r="D17" s="16">
        <v>0</v>
      </c>
      <c r="E17" s="6">
        <v>1387876</v>
      </c>
      <c r="F17" s="6">
        <v>2765029</v>
      </c>
      <c r="G17" s="6">
        <v>676346</v>
      </c>
      <c r="H17" s="6">
        <v>1306378</v>
      </c>
      <c r="I17" s="6">
        <v>2064222</v>
      </c>
      <c r="J17" s="7">
        <v>4071407</v>
      </c>
    </row>
    <row r="18" spans="1:10" x14ac:dyDescent="0.4">
      <c r="A18" s="13"/>
    </row>
    <row r="19" spans="1:10" x14ac:dyDescent="0.4">
      <c r="A19" s="13"/>
    </row>
    <row r="20" spans="1:10" ht="28.8" customHeight="1" x14ac:dyDescent="0.4">
      <c r="A20" s="19" t="s">
        <v>52</v>
      </c>
      <c r="B20" s="19"/>
    </row>
    <row r="21" spans="1:10" ht="28.8" x14ac:dyDescent="0.4">
      <c r="A21" s="13" t="s">
        <v>41</v>
      </c>
      <c r="B21" s="11" t="s">
        <v>37</v>
      </c>
    </row>
    <row r="22" spans="1:10" x14ac:dyDescent="0.4">
      <c r="A22" s="14"/>
      <c r="B22" s="30"/>
      <c r="C22" s="20" t="s">
        <v>42</v>
      </c>
      <c r="D22" s="21"/>
      <c r="E22" s="21"/>
      <c r="F22" s="21"/>
      <c r="G22" s="21"/>
      <c r="H22" s="21"/>
      <c r="I22" s="21"/>
      <c r="J22" s="22"/>
    </row>
    <row r="23" spans="1:10" x14ac:dyDescent="0.4">
      <c r="A23" s="15"/>
      <c r="B23" s="1"/>
      <c r="C23" s="17" t="s">
        <v>43</v>
      </c>
      <c r="D23" s="23"/>
      <c r="E23" s="23"/>
      <c r="F23" s="23"/>
      <c r="G23" s="23"/>
      <c r="H23" s="23"/>
      <c r="I23" s="23"/>
      <c r="J23" s="24"/>
    </row>
    <row r="24" spans="1:10" x14ac:dyDescent="0.4">
      <c r="A24" s="15"/>
      <c r="B24" s="1"/>
      <c r="C24" s="17" t="s">
        <v>44</v>
      </c>
      <c r="D24" s="23"/>
      <c r="E24" s="23"/>
      <c r="F24" s="23"/>
      <c r="G24" s="23"/>
      <c r="H24" s="18"/>
      <c r="I24" s="25" t="s">
        <v>45</v>
      </c>
      <c r="J24" s="26"/>
    </row>
    <row r="25" spans="1:10" x14ac:dyDescent="0.4">
      <c r="A25" s="15"/>
      <c r="B25" s="1"/>
      <c r="C25" s="17" t="s">
        <v>46</v>
      </c>
      <c r="D25" s="18"/>
      <c r="E25" s="17" t="s">
        <v>48</v>
      </c>
      <c r="F25" s="18"/>
      <c r="G25" s="17" t="s">
        <v>47</v>
      </c>
      <c r="H25" s="18"/>
      <c r="I25" s="27"/>
      <c r="J25" s="28"/>
    </row>
    <row r="26" spans="1:10" x14ac:dyDescent="0.4">
      <c r="A26" s="15"/>
      <c r="B26" s="1"/>
      <c r="C26" s="1" t="s">
        <v>38</v>
      </c>
      <c r="D26" s="1" t="s">
        <v>39</v>
      </c>
      <c r="E26" s="1" t="s">
        <v>38</v>
      </c>
      <c r="F26" s="1" t="s">
        <v>39</v>
      </c>
      <c r="G26" s="1" t="s">
        <v>38</v>
      </c>
      <c r="H26" s="1" t="s">
        <v>39</v>
      </c>
      <c r="I26" s="1" t="s">
        <v>38</v>
      </c>
      <c r="J26" s="10" t="s">
        <v>39</v>
      </c>
    </row>
    <row r="27" spans="1:10" ht="43.2" customHeight="1" x14ac:dyDescent="0.4">
      <c r="A27" s="32" t="s">
        <v>53</v>
      </c>
      <c r="B27" s="33"/>
      <c r="C27" s="3">
        <v>2017147</v>
      </c>
      <c r="D27" s="3">
        <v>4054529</v>
      </c>
      <c r="E27" s="3">
        <v>1369984</v>
      </c>
      <c r="F27" s="3">
        <v>2710112</v>
      </c>
      <c r="G27" s="3">
        <v>472033</v>
      </c>
      <c r="H27" s="3">
        <v>1138960</v>
      </c>
      <c r="I27" s="3">
        <v>3859164</v>
      </c>
      <c r="J27" s="5">
        <v>7903601</v>
      </c>
    </row>
    <row r="28" spans="1:10" ht="115.2" x14ac:dyDescent="0.4">
      <c r="A28" s="34" t="s">
        <v>53</v>
      </c>
      <c r="B28" s="29" t="s">
        <v>66</v>
      </c>
      <c r="C28" s="3">
        <v>1677688</v>
      </c>
      <c r="D28" s="3">
        <v>3360770</v>
      </c>
      <c r="E28" s="3">
        <v>1276198</v>
      </c>
      <c r="F28" s="3">
        <v>2575421</v>
      </c>
      <c r="G28" s="3">
        <v>383882</v>
      </c>
      <c r="H28" s="3">
        <v>735950</v>
      </c>
      <c r="I28" s="3">
        <v>3337768</v>
      </c>
      <c r="J28" s="5">
        <v>6672141</v>
      </c>
    </row>
    <row r="29" spans="1:10" ht="72" x14ac:dyDescent="0.4">
      <c r="A29" s="35"/>
      <c r="B29" s="29" t="s">
        <v>67</v>
      </c>
      <c r="C29" s="3">
        <v>-52182</v>
      </c>
      <c r="D29" s="3">
        <v>-100829</v>
      </c>
      <c r="E29" s="3">
        <v>-14954</v>
      </c>
      <c r="F29" s="3">
        <v>-78791</v>
      </c>
      <c r="G29" s="3">
        <v>33397</v>
      </c>
      <c r="H29" s="3">
        <v>300069</v>
      </c>
      <c r="I29" s="3">
        <v>-33739</v>
      </c>
      <c r="J29" s="5">
        <v>120449</v>
      </c>
    </row>
    <row r="30" spans="1:10" ht="100.8" x14ac:dyDescent="0.4">
      <c r="A30" s="35"/>
      <c r="B30" s="29" t="s">
        <v>68</v>
      </c>
      <c r="C30" s="3">
        <v>3410</v>
      </c>
      <c r="D30" s="3">
        <v>2498</v>
      </c>
      <c r="E30" s="4">
        <v>0</v>
      </c>
      <c r="F30" s="4">
        <v>0</v>
      </c>
      <c r="G30" s="4">
        <v>71</v>
      </c>
      <c r="H30" s="3">
        <v>-2930</v>
      </c>
      <c r="I30" s="3">
        <v>3481</v>
      </c>
      <c r="J30" s="8">
        <v>-432</v>
      </c>
    </row>
    <row r="31" spans="1:10" ht="86.4" x14ac:dyDescent="0.4">
      <c r="A31" s="36"/>
      <c r="B31" s="31" t="s">
        <v>69</v>
      </c>
      <c r="C31" s="6">
        <v>388231</v>
      </c>
      <c r="D31" s="6">
        <v>792090</v>
      </c>
      <c r="E31" s="6">
        <v>108740</v>
      </c>
      <c r="F31" s="6">
        <v>213482</v>
      </c>
      <c r="G31" s="6">
        <v>54683</v>
      </c>
      <c r="H31" s="6">
        <v>105871</v>
      </c>
      <c r="I31" s="6">
        <v>551654</v>
      </c>
      <c r="J31" s="7">
        <v>1111443</v>
      </c>
    </row>
    <row r="32" spans="1:10" x14ac:dyDescent="0.4">
      <c r="A32" s="13"/>
    </row>
    <row r="33" spans="1:10" ht="28.8" customHeight="1" x14ac:dyDescent="0.4">
      <c r="A33" s="12" t="s">
        <v>70</v>
      </c>
    </row>
    <row r="34" spans="1:10" x14ac:dyDescent="0.4">
      <c r="A34" s="13"/>
    </row>
    <row r="35" spans="1:10" ht="28.8" customHeight="1" x14ac:dyDescent="0.4">
      <c r="A35" s="19" t="s">
        <v>57</v>
      </c>
      <c r="B35" s="19"/>
    </row>
    <row r="36" spans="1:10" ht="28.8" x14ac:dyDescent="0.4">
      <c r="A36" s="13" t="s">
        <v>41</v>
      </c>
      <c r="B36" s="11" t="s">
        <v>37</v>
      </c>
    </row>
    <row r="37" spans="1:10" x14ac:dyDescent="0.4">
      <c r="A37" s="14"/>
      <c r="B37" s="30"/>
      <c r="C37" s="20" t="s">
        <v>42</v>
      </c>
      <c r="D37" s="21"/>
      <c r="E37" s="21"/>
      <c r="F37" s="21"/>
      <c r="G37" s="21"/>
      <c r="H37" s="21"/>
      <c r="I37" s="21"/>
      <c r="J37" s="22"/>
    </row>
    <row r="38" spans="1:10" x14ac:dyDescent="0.4">
      <c r="A38" s="15"/>
      <c r="B38" s="1"/>
      <c r="C38" s="17" t="s">
        <v>55</v>
      </c>
      <c r="D38" s="23"/>
      <c r="E38" s="23"/>
      <c r="F38" s="23"/>
      <c r="G38" s="23"/>
      <c r="H38" s="23"/>
      <c r="I38" s="23"/>
      <c r="J38" s="24"/>
    </row>
    <row r="39" spans="1:10" x14ac:dyDescent="0.4">
      <c r="A39" s="15"/>
      <c r="B39" s="1"/>
      <c r="C39" s="17" t="s">
        <v>44</v>
      </c>
      <c r="D39" s="23"/>
      <c r="E39" s="23"/>
      <c r="F39" s="23"/>
      <c r="G39" s="23"/>
      <c r="H39" s="18"/>
      <c r="I39" s="25" t="s">
        <v>45</v>
      </c>
      <c r="J39" s="26"/>
    </row>
    <row r="40" spans="1:10" x14ac:dyDescent="0.4">
      <c r="A40" s="15"/>
      <c r="B40" s="1"/>
      <c r="C40" s="17" t="s">
        <v>46</v>
      </c>
      <c r="D40" s="18"/>
      <c r="E40" s="17" t="s">
        <v>48</v>
      </c>
      <c r="F40" s="18"/>
      <c r="G40" s="17" t="s">
        <v>47</v>
      </c>
      <c r="H40" s="18"/>
      <c r="I40" s="27"/>
      <c r="J40" s="28"/>
    </row>
    <row r="41" spans="1:10" x14ac:dyDescent="0.4">
      <c r="A41" s="15"/>
      <c r="B41" s="1"/>
      <c r="C41" s="1" t="s">
        <v>38</v>
      </c>
      <c r="D41" s="1" t="s">
        <v>39</v>
      </c>
      <c r="E41" s="1" t="s">
        <v>38</v>
      </c>
      <c r="F41" s="1" t="s">
        <v>39</v>
      </c>
      <c r="G41" s="1" t="s">
        <v>38</v>
      </c>
      <c r="H41" s="1" t="s">
        <v>39</v>
      </c>
      <c r="I41" s="1" t="s">
        <v>38</v>
      </c>
      <c r="J41" s="10" t="s">
        <v>39</v>
      </c>
    </row>
    <row r="42" spans="1:10" ht="43.2" customHeight="1" x14ac:dyDescent="0.4">
      <c r="A42" s="32" t="s">
        <v>61</v>
      </c>
      <c r="B42" s="33"/>
      <c r="C42" s="3">
        <v>74598</v>
      </c>
      <c r="D42" s="3">
        <v>92450</v>
      </c>
      <c r="E42" s="4">
        <v>0</v>
      </c>
      <c r="F42" s="4">
        <v>0</v>
      </c>
      <c r="G42" s="3">
        <v>238870</v>
      </c>
      <c r="H42" s="3">
        <v>459046</v>
      </c>
      <c r="I42" s="3">
        <v>313468</v>
      </c>
      <c r="J42" s="5">
        <v>551496</v>
      </c>
    </row>
    <row r="43" spans="1:10" ht="115.2" x14ac:dyDescent="0.4">
      <c r="A43" s="34" t="s">
        <v>61</v>
      </c>
      <c r="B43" s="29" t="s">
        <v>71</v>
      </c>
      <c r="C43" s="3">
        <v>56694</v>
      </c>
      <c r="D43" s="3">
        <v>114624</v>
      </c>
      <c r="E43" s="4">
        <v>0</v>
      </c>
      <c r="F43" s="4">
        <v>0</v>
      </c>
      <c r="G43" s="4">
        <v>0</v>
      </c>
      <c r="H43" s="4">
        <v>0</v>
      </c>
      <c r="I43" s="3">
        <v>56694</v>
      </c>
      <c r="J43" s="5">
        <v>114624</v>
      </c>
    </row>
    <row r="44" spans="1:10" ht="86.4" x14ac:dyDescent="0.4">
      <c r="A44" s="35"/>
      <c r="B44" s="29" t="s">
        <v>58</v>
      </c>
      <c r="C44" s="3">
        <v>3824</v>
      </c>
      <c r="D44" s="3">
        <v>8199</v>
      </c>
      <c r="E44" s="4">
        <v>0</v>
      </c>
      <c r="F44" s="4">
        <v>0</v>
      </c>
      <c r="G44" s="4">
        <v>0</v>
      </c>
      <c r="H44" s="4">
        <v>0</v>
      </c>
      <c r="I44" s="3">
        <v>3824</v>
      </c>
      <c r="J44" s="5">
        <v>8199</v>
      </c>
    </row>
    <row r="45" spans="1:10" ht="100.8" x14ac:dyDescent="0.4">
      <c r="A45" s="35"/>
      <c r="B45" s="29" t="s">
        <v>59</v>
      </c>
      <c r="C45" s="3">
        <v>11670</v>
      </c>
      <c r="D45" s="3">
        <v>23381</v>
      </c>
      <c r="E45" s="4">
        <v>0</v>
      </c>
      <c r="F45" s="4">
        <v>0</v>
      </c>
      <c r="G45" s="4">
        <v>0</v>
      </c>
      <c r="H45" s="4">
        <v>0</v>
      </c>
      <c r="I45" s="3">
        <v>11670</v>
      </c>
      <c r="J45" s="5">
        <v>23381</v>
      </c>
    </row>
    <row r="46" spans="1:10" ht="43.2" x14ac:dyDescent="0.4">
      <c r="A46" s="35"/>
      <c r="B46" s="29" t="s">
        <v>60</v>
      </c>
      <c r="C46" s="3">
        <v>2255</v>
      </c>
      <c r="D46" s="3">
        <v>-54079</v>
      </c>
      <c r="E46" s="4">
        <v>0</v>
      </c>
      <c r="F46" s="4">
        <v>0</v>
      </c>
      <c r="G46" s="4">
        <v>0</v>
      </c>
      <c r="H46" s="4">
        <v>0</v>
      </c>
      <c r="I46" s="3">
        <v>2255</v>
      </c>
      <c r="J46" s="5">
        <v>-54079</v>
      </c>
    </row>
    <row r="47" spans="1:10" ht="86.4" x14ac:dyDescent="0.4">
      <c r="A47" s="36"/>
      <c r="B47" s="31" t="s">
        <v>72</v>
      </c>
      <c r="C47" s="16">
        <v>155</v>
      </c>
      <c r="D47" s="16">
        <v>325</v>
      </c>
      <c r="E47" s="16">
        <v>0</v>
      </c>
      <c r="F47" s="16">
        <v>0</v>
      </c>
      <c r="G47" s="6">
        <v>238870</v>
      </c>
      <c r="H47" s="6">
        <v>459046</v>
      </c>
      <c r="I47" s="6">
        <v>239025</v>
      </c>
      <c r="J47" s="7">
        <v>459371</v>
      </c>
    </row>
    <row r="48" spans="1:10" x14ac:dyDescent="0.4">
      <c r="A48" s="13"/>
    </row>
    <row r="49" spans="1:10" ht="28.8" customHeight="1" x14ac:dyDescent="0.4">
      <c r="A49" s="19" t="s">
        <v>54</v>
      </c>
      <c r="B49" s="19"/>
    </row>
    <row r="50" spans="1:10" ht="28.8" x14ac:dyDescent="0.4">
      <c r="A50" s="13" t="s">
        <v>41</v>
      </c>
      <c r="B50" s="11" t="s">
        <v>37</v>
      </c>
    </row>
    <row r="51" spans="1:10" x14ac:dyDescent="0.4">
      <c r="A51" s="14"/>
      <c r="B51" s="30"/>
      <c r="C51" s="20" t="s">
        <v>42</v>
      </c>
      <c r="D51" s="21"/>
      <c r="E51" s="21"/>
      <c r="F51" s="21"/>
      <c r="G51" s="21"/>
      <c r="H51" s="21"/>
      <c r="I51" s="21"/>
      <c r="J51" s="22"/>
    </row>
    <row r="52" spans="1:10" x14ac:dyDescent="0.4">
      <c r="A52" s="15"/>
      <c r="B52" s="1"/>
      <c r="C52" s="17" t="s">
        <v>55</v>
      </c>
      <c r="D52" s="23"/>
      <c r="E52" s="23"/>
      <c r="F52" s="23"/>
      <c r="G52" s="23"/>
      <c r="H52" s="23"/>
      <c r="I52" s="23"/>
      <c r="J52" s="24"/>
    </row>
    <row r="53" spans="1:10" x14ac:dyDescent="0.4">
      <c r="A53" s="15"/>
      <c r="B53" s="1"/>
      <c r="C53" s="17" t="s">
        <v>44</v>
      </c>
      <c r="D53" s="23"/>
      <c r="E53" s="23"/>
      <c r="F53" s="23"/>
      <c r="G53" s="23"/>
      <c r="H53" s="18"/>
      <c r="I53" s="25" t="s">
        <v>45</v>
      </c>
      <c r="J53" s="26"/>
    </row>
    <row r="54" spans="1:10" x14ac:dyDescent="0.4">
      <c r="A54" s="15"/>
      <c r="B54" s="1"/>
      <c r="C54" s="17" t="s">
        <v>46</v>
      </c>
      <c r="D54" s="18"/>
      <c r="E54" s="17" t="s">
        <v>48</v>
      </c>
      <c r="F54" s="18"/>
      <c r="G54" s="17" t="s">
        <v>47</v>
      </c>
      <c r="H54" s="18"/>
      <c r="I54" s="27"/>
      <c r="J54" s="28"/>
    </row>
    <row r="55" spans="1:10" x14ac:dyDescent="0.4">
      <c r="A55" s="15"/>
      <c r="B55" s="1"/>
      <c r="C55" s="1" t="s">
        <v>38</v>
      </c>
      <c r="D55" s="1" t="s">
        <v>39</v>
      </c>
      <c r="E55" s="1" t="s">
        <v>38</v>
      </c>
      <c r="F55" s="1" t="s">
        <v>39</v>
      </c>
      <c r="G55" s="1" t="s">
        <v>38</v>
      </c>
      <c r="H55" s="1" t="s">
        <v>39</v>
      </c>
      <c r="I55" s="1" t="s">
        <v>38</v>
      </c>
      <c r="J55" s="10" t="s">
        <v>39</v>
      </c>
    </row>
    <row r="56" spans="1:10" ht="43.2" customHeight="1" x14ac:dyDescent="0.4">
      <c r="A56" s="32" t="s">
        <v>56</v>
      </c>
      <c r="B56" s="33"/>
      <c r="C56" s="3">
        <v>56229</v>
      </c>
      <c r="D56" s="3">
        <v>73712</v>
      </c>
      <c r="E56" s="4">
        <v>17</v>
      </c>
      <c r="F56" s="4">
        <v>31</v>
      </c>
      <c r="G56" s="3">
        <v>100356</v>
      </c>
      <c r="H56" s="3">
        <v>412719</v>
      </c>
      <c r="I56" s="3">
        <v>156602</v>
      </c>
      <c r="J56" s="5">
        <v>486462</v>
      </c>
    </row>
    <row r="57" spans="1:10" ht="100.8" x14ac:dyDescent="0.4">
      <c r="A57" s="34" t="s">
        <v>56</v>
      </c>
      <c r="B57" s="29" t="s">
        <v>73</v>
      </c>
      <c r="C57" s="3">
        <v>55539</v>
      </c>
      <c r="D57" s="3">
        <v>83900</v>
      </c>
      <c r="E57" s="4">
        <v>0</v>
      </c>
      <c r="F57" s="4">
        <v>0</v>
      </c>
      <c r="G57" s="3">
        <v>122095</v>
      </c>
      <c r="H57" s="3">
        <v>220463</v>
      </c>
      <c r="I57" s="3">
        <v>177634</v>
      </c>
      <c r="J57" s="5">
        <v>304363</v>
      </c>
    </row>
    <row r="58" spans="1:10" ht="72" x14ac:dyDescent="0.4">
      <c r="A58" s="35"/>
      <c r="B58" s="29" t="s">
        <v>74</v>
      </c>
      <c r="C58" s="4">
        <v>83</v>
      </c>
      <c r="D58" s="3">
        <v>-10113</v>
      </c>
      <c r="E58" s="4">
        <v>17</v>
      </c>
      <c r="F58" s="4">
        <v>31</v>
      </c>
      <c r="G58" s="3">
        <v>-21626</v>
      </c>
      <c r="H58" s="3">
        <v>192789</v>
      </c>
      <c r="I58" s="3">
        <v>-21526</v>
      </c>
      <c r="J58" s="5">
        <v>182707</v>
      </c>
    </row>
    <row r="59" spans="1:10" ht="86.4" x14ac:dyDescent="0.4">
      <c r="A59" s="36"/>
      <c r="B59" s="31" t="s">
        <v>75</v>
      </c>
      <c r="C59" s="16">
        <v>607</v>
      </c>
      <c r="D59" s="16">
        <v>-75</v>
      </c>
      <c r="E59" s="16">
        <v>0</v>
      </c>
      <c r="F59" s="16">
        <v>0</v>
      </c>
      <c r="G59" s="16">
        <v>-113</v>
      </c>
      <c r="H59" s="16">
        <v>-533</v>
      </c>
      <c r="I59" s="16">
        <v>494</v>
      </c>
      <c r="J59" s="37">
        <v>-608</v>
      </c>
    </row>
    <row r="60" spans="1:10" x14ac:dyDescent="0.4">
      <c r="A60" s="13"/>
    </row>
    <row r="61" spans="1:10" x14ac:dyDescent="0.4">
      <c r="A61" s="13"/>
    </row>
    <row r="62" spans="1:10" x14ac:dyDescent="0.4">
      <c r="A62" s="13"/>
    </row>
  </sheetData>
  <mergeCells count="40">
    <mergeCell ref="A56:B56"/>
    <mergeCell ref="A57:A59"/>
    <mergeCell ref="C53:H53"/>
    <mergeCell ref="I53:J54"/>
    <mergeCell ref="C54:D54"/>
    <mergeCell ref="E54:F54"/>
    <mergeCell ref="G54:H54"/>
    <mergeCell ref="A49:B49"/>
    <mergeCell ref="C51:J51"/>
    <mergeCell ref="C52:J52"/>
    <mergeCell ref="A42:B42"/>
    <mergeCell ref="A43:A47"/>
    <mergeCell ref="C39:H39"/>
    <mergeCell ref="I39:J40"/>
    <mergeCell ref="C40:D40"/>
    <mergeCell ref="E40:F40"/>
    <mergeCell ref="G40:H40"/>
    <mergeCell ref="A35:B35"/>
    <mergeCell ref="C37:J37"/>
    <mergeCell ref="C38:J38"/>
    <mergeCell ref="A27:B27"/>
    <mergeCell ref="A28:A31"/>
    <mergeCell ref="C24:H24"/>
    <mergeCell ref="I24:J25"/>
    <mergeCell ref="C25:D25"/>
    <mergeCell ref="E25:F25"/>
    <mergeCell ref="G25:H25"/>
    <mergeCell ref="A20:B20"/>
    <mergeCell ref="C22:J22"/>
    <mergeCell ref="C23:J23"/>
    <mergeCell ref="A11:B11"/>
    <mergeCell ref="A12:A17"/>
    <mergeCell ref="C8:H8"/>
    <mergeCell ref="I8:J9"/>
    <mergeCell ref="C9:D9"/>
    <mergeCell ref="E9:F9"/>
    <mergeCell ref="G9:H9"/>
    <mergeCell ref="A4:B4"/>
    <mergeCell ref="C6:J6"/>
    <mergeCell ref="C7:J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2026-06-04T23:25:57Z</dcterms:modified>
</cp:coreProperties>
</file>