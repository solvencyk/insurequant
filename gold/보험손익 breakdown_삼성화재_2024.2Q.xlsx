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wook.cho\Desktop\insurequant\gold\"/>
    </mc:Choice>
  </mc:AlternateContent>
  <xr:revisionPtr revIDLastSave="0" documentId="13_ncr:1_{A327CCDF-5C6E-4F18-81FA-8F8991CEAC3A}" xr6:coauthVersionLast="47" xr6:coauthVersionMax="47" xr10:uidLastSave="{00000000-0000-0000-0000-000000000000}"/>
  <bookViews>
    <workbookView xWindow="-98" yWindow="-98" windowWidth="21795" windowHeight="12975" xr2:uid="{B186C083-72FA-4707-BBE5-A56EC0A2D05F}"/>
  </bookViews>
  <sheets>
    <sheet name="Sheet1" sheetId="4" r:id="rId1"/>
    <sheet name="보험손익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2" i="4" l="1"/>
  <c r="H15" i="4"/>
  <c r="H14" i="4"/>
  <c r="H12" i="4"/>
  <c r="H11" i="4"/>
  <c r="H10" i="4"/>
  <c r="H9" i="4"/>
  <c r="H7" i="4"/>
  <c r="H6" i="4"/>
  <c r="H5" i="4"/>
  <c r="H4" i="4"/>
  <c r="E8" i="4" l="1"/>
  <c r="E9" i="4" s="1"/>
  <c r="E10" i="4" s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H13" i="4" l="1"/>
  <c r="H3" i="4"/>
  <c r="H2" i="4" s="1"/>
  <c r="H8" i="4"/>
  <c r="E3" i="4"/>
  <c r="E4" i="4" s="1"/>
  <c r="E5" i="4" s="1"/>
  <c r="E6" i="4" s="1"/>
  <c r="E7" i="4" s="1"/>
</calcChain>
</file>

<file path=xl/sharedStrings.xml><?xml version="1.0" encoding="utf-8"?>
<sst xmlns="http://schemas.openxmlformats.org/spreadsheetml/2006/main" count="232" uniqueCount="71">
  <si>
    <t>공시분기</t>
  </si>
  <si>
    <t>영업이익</t>
  </si>
  <si>
    <t>당기순이익</t>
  </si>
  <si>
    <t>손해보험</t>
  </si>
  <si>
    <t>법인세</t>
  </si>
  <si>
    <t>세전이익</t>
  </si>
  <si>
    <t>영업외손익</t>
  </si>
  <si>
    <t>기타사업비용</t>
    <phoneticPr fontId="2" type="noConversion"/>
  </si>
  <si>
    <t>기타영업수익</t>
    <phoneticPr fontId="2" type="noConversion"/>
  </si>
  <si>
    <t>보험금융손익</t>
  </si>
  <si>
    <t>투자이익</t>
  </si>
  <si>
    <t>투자손익</t>
    <phoneticPr fontId="2" type="noConversion"/>
  </si>
  <si>
    <t>일반손익</t>
  </si>
  <si>
    <t>자동차손익</t>
  </si>
  <si>
    <t>보험손익</t>
    <phoneticPr fontId="2" type="noConversion"/>
  </si>
  <si>
    <t>값</t>
  </si>
  <si>
    <t>항목명</t>
  </si>
  <si>
    <t>항목번호</t>
  </si>
  <si>
    <t>생손보여부</t>
  </si>
  <si>
    <t>티커</t>
  </si>
  <si>
    <t>원수사명</t>
  </si>
  <si>
    <t>원보험사코드</t>
  </si>
  <si>
    <t>검증</t>
    <phoneticPr fontId="2" type="noConversion"/>
  </si>
  <si>
    <t>생명장기 손익</t>
    <phoneticPr fontId="2" type="noConversion"/>
  </si>
  <si>
    <t>생명장기 원수손익</t>
    <phoneticPr fontId="2" type="noConversion"/>
  </si>
  <si>
    <t>생명장기 재보험손익</t>
    <phoneticPr fontId="2" type="noConversion"/>
  </si>
  <si>
    <t>손해보험</t>
    <phoneticPr fontId="2" type="noConversion"/>
  </si>
  <si>
    <t>원수 CSM상각</t>
    <phoneticPr fontId="2" type="noConversion"/>
  </si>
  <si>
    <t>원수 위험조정 변동</t>
    <phoneticPr fontId="2" type="noConversion"/>
  </si>
  <si>
    <t>원수 예실차</t>
    <phoneticPr fontId="2" type="noConversion"/>
  </si>
  <si>
    <t>기타 생명장기 원수손익</t>
    <phoneticPr fontId="2" type="noConversion"/>
  </si>
  <si>
    <t>재보험 CSM상각</t>
    <phoneticPr fontId="2" type="noConversion"/>
  </si>
  <si>
    <t>재보험 위험조정 변동</t>
    <phoneticPr fontId="2" type="noConversion"/>
  </si>
  <si>
    <t>재보험 예실차</t>
    <phoneticPr fontId="2" type="noConversion"/>
  </si>
  <si>
    <t>기타 생명장기 재보험손익</t>
    <phoneticPr fontId="2" type="noConversion"/>
  </si>
  <si>
    <t>보험수익</t>
  </si>
  <si>
    <t>3개월</t>
  </si>
  <si>
    <t>누적</t>
  </si>
  <si>
    <t>KR0008</t>
    <phoneticPr fontId="2" type="noConversion"/>
  </si>
  <si>
    <t>삼성화재</t>
    <phoneticPr fontId="2" type="noConversion"/>
  </si>
  <si>
    <t>(10) 당반기와 전반기 중 주요 보종별 보험수익 및 재보험비용의 내역은 다음과 같습니다.</t>
  </si>
  <si>
    <t>1) 제75(당)기 반기</t>
  </si>
  <si>
    <t>(단위: 백만원)</t>
  </si>
  <si>
    <t>구분</t>
  </si>
  <si>
    <t>장기</t>
  </si>
  <si>
    <t>자동차</t>
  </si>
  <si>
    <t>일반</t>
  </si>
  <si>
    <t>합계</t>
  </si>
  <si>
    <t>   예상보험금 및 보험서비스비용</t>
  </si>
  <si>
    <t>   비금융위험에 대한 위험조정의 변동</t>
  </si>
  <si>
    <t>   보험계약마진 상각</t>
  </si>
  <si>
    <t>   보험취득현금흐름상각</t>
  </si>
  <si>
    <t>   보험취득현금흐름 경험조정</t>
  </si>
  <si>
    <t>   보험료배분접근법 적용수익</t>
  </si>
  <si>
    <t>재보험비용</t>
  </si>
  <si>
    <t>   예상출재보험금 및 수입손해조사비</t>
  </si>
  <si>
    <t>   보험계약마진상각</t>
  </si>
  <si>
    <t>   출재보험료 경험조정</t>
  </si>
  <si>
    <t>   보험료배분접근법 적용비용</t>
  </si>
  <si>
    <t>(11) 당반기와 전반기 중 주요 보종별 보험서비스비용 및 재보험수익의 내역은 다음과 같습니다.</t>
  </si>
  <si>
    <t>보험서비스비용</t>
  </si>
  <si>
    <t>   발생보험금 및 발생보험서비스비용</t>
  </si>
  <si>
    <t>   발생사고요소 이행현금흐름 추정치 변동</t>
  </si>
  <si>
    <t>   손실요소의 전입(환입)</t>
  </si>
  <si>
    <t>   보험취득현금흐름관련 비용</t>
  </si>
  <si>
    <t>재보험수익</t>
  </si>
  <si>
    <t>   발생출재보험금 및 수입손해조사비</t>
  </si>
  <si>
    <t>   발생사고요소 이행현금흐름추정치 변동</t>
  </si>
  <si>
    <t>   손실회수요소의 전입(환입)</t>
  </si>
  <si>
    <t>2024.2Q</t>
    <phoneticPr fontId="2" type="noConversion"/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</si>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</sst>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8"/>
      <name val="맑은 고딕"/>
      <family val="2"/>
      <charset val="129"/>
      <scheme val="minor"/>
    </font>
    <font>
      <sz val="6"/>
      <color rgb="FF000000"/>
      <name val="바탕"/>
      <family val="1"/>
      <charset val="129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/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/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/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0" fontId="1" fillId="0" borderId="1" xfId="0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3" fontId="1" fillId="0" borderId="4" xfId="0" applyNumberFormat="1" applyFont="1" applyBorder="1" applyAlignment="1">
      <alignment horizontal="right" vertical="center" wrapText="1"/>
    </xf>
    <xf numFmtId="3" fontId="1" fillId="0" borderId="5" xfId="0" applyNumberFormat="1" applyFont="1" applyBorder="1" applyAlignment="1">
      <alignment horizontal="right" vertical="center" wrapText="1"/>
    </xf>
    <xf numFmtId="0" fontId="1" fillId="0" borderId="3" xfId="0" applyFont="1" applyBorder="1" applyAlignment="1">
      <alignment horizontal="right" vertical="center" wrapText="1"/>
    </xf>
    <xf numFmtId="0" fontId="0" fillId="0" borderId="0" xfId="0" applyAlignment="1"/>
    <xf numFmtId="0" fontId="1" fillId="2" borderId="3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right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1" fillId="0" borderId="0" xfId="0" applyFont="1" applyAlignment="1">
      <alignment horizontal="right" vertical="top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3" fontId="1" fillId="0" borderId="0" xfId="0" applyNumberFormat="1" applyFont="1" applyBorder="1" applyAlignment="1">
      <alignment horizontal="right" vertical="center" wrapText="1"/>
    </xf>
    <xf numFmtId="0" fontId="1" fillId="0" borderId="0" xfId="0" applyFont="1" applyBorder="1" applyAlignment="1">
      <alignment horizontal="righ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60264-0ADE-4580-BFCD-469F1D8FFBA3}">
  <dimension ref="A1:L25"/>
  <sheetViews>
    <sheetView tabSelected="1" workbookViewId="0"/>
  </sheetViews>
  <sheetFormatPr defaultRowHeight="16.899999999999999" x14ac:dyDescent="0.6"/>
  <cols>
    <col min="5" max="5" width="9.1875" bestFit="1" customWidth="1"/>
    <col min="6" max="6" width="20.875" bestFit="1" customWidth="1"/>
    <col min="8" max="8" width="16.625" bestFit="1" customWidth="1"/>
  </cols>
  <sheetData>
    <row r="1" spans="1:12" x14ac:dyDescent="0.6">
      <c r="A1" s="9" t="s">
        <v>21</v>
      </c>
      <c r="B1" s="9" t="s">
        <v>20</v>
      </c>
      <c r="C1" s="9" t="s">
        <v>19</v>
      </c>
      <c r="D1" s="9" t="s">
        <v>18</v>
      </c>
      <c r="E1" s="9" t="s">
        <v>17</v>
      </c>
      <c r="F1" s="9" t="s">
        <v>16</v>
      </c>
      <c r="G1" s="9" t="s">
        <v>0</v>
      </c>
      <c r="H1" s="9" t="s">
        <v>15</v>
      </c>
      <c r="I1" s="9" t="s">
        <v>22</v>
      </c>
    </row>
    <row r="2" spans="1:12" x14ac:dyDescent="0.6">
      <c r="A2" s="9" t="s">
        <v>38</v>
      </c>
      <c r="B2" s="9" t="s">
        <v>39</v>
      </c>
      <c r="C2" s="9"/>
      <c r="D2" s="9" t="s">
        <v>3</v>
      </c>
      <c r="E2" s="9">
        <v>1</v>
      </c>
      <c r="F2" t="s">
        <v>14</v>
      </c>
      <c r="G2" s="9" t="s">
        <v>69</v>
      </c>
      <c r="H2" s="2">
        <f>H3+H14+H15+H16-H17</f>
        <v>1135415.4550000001</v>
      </c>
      <c r="I2" s="2" t="b">
        <f>ABS(ROUND(H2,0)-1135414.928)&lt;2</f>
        <v>1</v>
      </c>
      <c r="L2" s="2"/>
    </row>
    <row r="3" spans="1:12" x14ac:dyDescent="0.6">
      <c r="A3" s="9" t="s">
        <v>38</v>
      </c>
      <c r="B3" s="9" t="s">
        <v>39</v>
      </c>
      <c r="C3" s="9"/>
      <c r="D3" s="9" t="s">
        <v>3</v>
      </c>
      <c r="E3">
        <f t="shared" ref="E3" si="0">E2+1</f>
        <v>2</v>
      </c>
      <c r="F3" t="s">
        <v>23</v>
      </c>
      <c r="G3" t="s">
        <v>69</v>
      </c>
      <c r="H3" s="2">
        <f>H4+H9</f>
        <v>954343</v>
      </c>
    </row>
    <row r="4" spans="1:12" x14ac:dyDescent="0.6">
      <c r="A4" s="9" t="s">
        <v>38</v>
      </c>
      <c r="B4" s="9" t="s">
        <v>39</v>
      </c>
      <c r="C4" s="9"/>
      <c r="D4" s="9" t="s">
        <v>3</v>
      </c>
      <c r="E4">
        <f t="shared" ref="E4:E7" si="1">E3+1</f>
        <v>3</v>
      </c>
      <c r="F4" t="s">
        <v>24</v>
      </c>
      <c r="G4" t="s">
        <v>69</v>
      </c>
      <c r="H4" s="2">
        <f>보험손익!C13-보험손익!C32</f>
        <v>990346</v>
      </c>
    </row>
    <row r="5" spans="1:12" x14ac:dyDescent="0.6">
      <c r="A5" s="9" t="s">
        <v>38</v>
      </c>
      <c r="B5" s="9" t="s">
        <v>39</v>
      </c>
      <c r="C5" s="9"/>
      <c r="D5" s="9" t="s">
        <v>3</v>
      </c>
      <c r="E5">
        <f t="shared" si="1"/>
        <v>4</v>
      </c>
      <c r="F5" t="s">
        <v>27</v>
      </c>
      <c r="G5" t="s">
        <v>69</v>
      </c>
      <c r="H5" s="2">
        <f>보험손익!C9</f>
        <v>800349</v>
      </c>
      <c r="K5" s="2"/>
    </row>
    <row r="6" spans="1:12" x14ac:dyDescent="0.6">
      <c r="A6" s="9" t="s">
        <v>38</v>
      </c>
      <c r="B6" s="9" t="s">
        <v>39</v>
      </c>
      <c r="C6" s="9"/>
      <c r="D6" s="9" t="s">
        <v>3</v>
      </c>
      <c r="E6">
        <f t="shared" si="1"/>
        <v>5</v>
      </c>
      <c r="F6" t="s">
        <v>28</v>
      </c>
      <c r="G6" t="s">
        <v>69</v>
      </c>
      <c r="H6" s="2">
        <f>보험손익!C8</f>
        <v>77728</v>
      </c>
      <c r="K6" s="2"/>
    </row>
    <row r="7" spans="1:12" x14ac:dyDescent="0.6">
      <c r="A7" s="9" t="s">
        <v>38</v>
      </c>
      <c r="B7" s="9" t="s">
        <v>39</v>
      </c>
      <c r="C7" s="9"/>
      <c r="D7" s="9" t="s">
        <v>3</v>
      </c>
      <c r="E7">
        <f t="shared" si="1"/>
        <v>6</v>
      </c>
      <c r="F7" t="s">
        <v>29</v>
      </c>
      <c r="G7" t="s">
        <v>69</v>
      </c>
      <c r="H7" s="2">
        <f>보험손익!C7-보험손익!C28</f>
        <v>-186460</v>
      </c>
      <c r="K7" s="2"/>
    </row>
    <row r="8" spans="1:12" x14ac:dyDescent="0.6">
      <c r="A8" s="9" t="s">
        <v>38</v>
      </c>
      <c r="B8" s="9" t="s">
        <v>39</v>
      </c>
      <c r="C8" s="9"/>
      <c r="D8" s="9" t="s">
        <v>26</v>
      </c>
      <c r="E8">
        <f t="shared" ref="E8:E25" si="2">E7+1</f>
        <v>7</v>
      </c>
      <c r="F8" t="s">
        <v>30</v>
      </c>
      <c r="G8" t="s">
        <v>69</v>
      </c>
      <c r="H8" s="2">
        <f>H4-SUM(H5:H7)</f>
        <v>298729</v>
      </c>
      <c r="K8" s="2"/>
    </row>
    <row r="9" spans="1:12" x14ac:dyDescent="0.6">
      <c r="A9" s="9" t="s">
        <v>38</v>
      </c>
      <c r="B9" s="9" t="s">
        <v>39</v>
      </c>
      <c r="C9" s="9"/>
      <c r="D9" s="9" t="s">
        <v>26</v>
      </c>
      <c r="E9">
        <f t="shared" si="2"/>
        <v>8</v>
      </c>
      <c r="F9" t="s">
        <v>25</v>
      </c>
      <c r="G9" t="s">
        <v>69</v>
      </c>
      <c r="H9" s="2">
        <f>보험손익!C37-보험손익!C20</f>
        <v>-36003</v>
      </c>
      <c r="K9" s="2"/>
    </row>
    <row r="10" spans="1:12" x14ac:dyDescent="0.6">
      <c r="A10" s="9" t="s">
        <v>38</v>
      </c>
      <c r="B10" s="9" t="s">
        <v>39</v>
      </c>
      <c r="C10" s="9"/>
      <c r="D10" s="9" t="s">
        <v>26</v>
      </c>
      <c r="E10">
        <f t="shared" si="2"/>
        <v>9</v>
      </c>
      <c r="F10" t="s">
        <v>31</v>
      </c>
      <c r="G10" t="s">
        <v>69</v>
      </c>
      <c r="H10" s="2">
        <f>-보험손익!C17</f>
        <v>-14909</v>
      </c>
      <c r="K10" s="2"/>
    </row>
    <row r="11" spans="1:12" x14ac:dyDescent="0.6">
      <c r="A11" s="9" t="s">
        <v>38</v>
      </c>
      <c r="B11" s="9" t="s">
        <v>39</v>
      </c>
      <c r="C11" s="9"/>
      <c r="D11" s="9" t="s">
        <v>26</v>
      </c>
      <c r="E11">
        <f t="shared" si="2"/>
        <v>10</v>
      </c>
      <c r="F11" t="s">
        <v>32</v>
      </c>
      <c r="G11" t="s">
        <v>69</v>
      </c>
      <c r="H11" s="2">
        <f>-보험손익!C16</f>
        <v>-6853</v>
      </c>
      <c r="K11" s="2"/>
    </row>
    <row r="12" spans="1:12" x14ac:dyDescent="0.6">
      <c r="A12" s="9" t="s">
        <v>38</v>
      </c>
      <c r="B12" s="9" t="s">
        <v>39</v>
      </c>
      <c r="C12" s="9"/>
      <c r="D12" s="9" t="s">
        <v>26</v>
      </c>
      <c r="E12">
        <f t="shared" si="2"/>
        <v>11</v>
      </c>
      <c r="F12" t="s">
        <v>33</v>
      </c>
      <c r="G12" t="s">
        <v>69</v>
      </c>
      <c r="H12" s="2">
        <f>보험손익!C34-보험손익!C15</f>
        <v>-20048</v>
      </c>
      <c r="K12" s="2"/>
    </row>
    <row r="13" spans="1:12" x14ac:dyDescent="0.6">
      <c r="A13" s="9" t="s">
        <v>38</v>
      </c>
      <c r="B13" s="9" t="s">
        <v>39</v>
      </c>
      <c r="C13" s="9"/>
      <c r="D13" s="9" t="s">
        <v>26</v>
      </c>
      <c r="E13">
        <f t="shared" si="2"/>
        <v>12</v>
      </c>
      <c r="F13" t="s">
        <v>34</v>
      </c>
      <c r="G13" t="s">
        <v>69</v>
      </c>
      <c r="H13" s="2">
        <f>H9-SUM(H10:H12)</f>
        <v>5807</v>
      </c>
      <c r="K13" s="2"/>
    </row>
    <row r="14" spans="1:12" x14ac:dyDescent="0.6">
      <c r="A14" s="9" t="s">
        <v>38</v>
      </c>
      <c r="B14" s="9" t="s">
        <v>39</v>
      </c>
      <c r="C14" s="9"/>
      <c r="D14" s="9" t="s">
        <v>26</v>
      </c>
      <c r="E14">
        <f t="shared" si="2"/>
        <v>13</v>
      </c>
      <c r="F14" t="s">
        <v>13</v>
      </c>
      <c r="G14" t="s">
        <v>69</v>
      </c>
      <c r="H14" s="2">
        <f>보험손익!E13-N(보험손익!E20)-N(보험손익!E32)+보험손익!E37</f>
        <v>174662</v>
      </c>
      <c r="J14" s="2"/>
    </row>
    <row r="15" spans="1:12" x14ac:dyDescent="0.6">
      <c r="A15" s="9" t="s">
        <v>38</v>
      </c>
      <c r="B15" s="9" t="s">
        <v>39</v>
      </c>
      <c r="C15" s="9"/>
      <c r="D15" s="9" t="s">
        <v>3</v>
      </c>
      <c r="E15">
        <f t="shared" si="2"/>
        <v>14</v>
      </c>
      <c r="F15" t="s">
        <v>12</v>
      </c>
      <c r="G15" t="s">
        <v>69</v>
      </c>
      <c r="H15" s="2">
        <f>보험손익!G13-N(보험손익!G20)-N(보험손익!G32)+보험손익!G37</f>
        <v>124924</v>
      </c>
    </row>
    <row r="16" spans="1:12" x14ac:dyDescent="0.6">
      <c r="A16" s="9" t="s">
        <v>38</v>
      </c>
      <c r="B16" s="9" t="s">
        <v>39</v>
      </c>
      <c r="C16" s="9"/>
      <c r="D16" s="9" t="s">
        <v>3</v>
      </c>
      <c r="E16">
        <f t="shared" si="2"/>
        <v>15</v>
      </c>
      <c r="F16" t="s">
        <v>8</v>
      </c>
      <c r="G16" t="s">
        <v>69</v>
      </c>
      <c r="H16" s="2"/>
    </row>
    <row r="17" spans="1:9" x14ac:dyDescent="0.6">
      <c r="A17" s="9" t="s">
        <v>38</v>
      </c>
      <c r="B17" s="9" t="s">
        <v>39</v>
      </c>
      <c r="C17" s="9"/>
      <c r="D17" s="9" t="s">
        <v>3</v>
      </c>
      <c r="E17">
        <f t="shared" si="2"/>
        <v>16</v>
      </c>
      <c r="F17" t="s">
        <v>7</v>
      </c>
      <c r="G17" t="s">
        <v>69</v>
      </c>
      <c r="H17" s="2">
        <v>118513.545</v>
      </c>
    </row>
    <row r="18" spans="1:9" x14ac:dyDescent="0.6">
      <c r="A18" s="9" t="s">
        <v>38</v>
      </c>
      <c r="B18" s="9" t="s">
        <v>39</v>
      </c>
      <c r="C18" s="9"/>
      <c r="D18" s="9" t="s">
        <v>3</v>
      </c>
      <c r="E18">
        <f t="shared" si="2"/>
        <v>17</v>
      </c>
      <c r="F18" t="s">
        <v>11</v>
      </c>
      <c r="G18" t="s">
        <v>69</v>
      </c>
      <c r="H18" s="2"/>
    </row>
    <row r="19" spans="1:9" x14ac:dyDescent="0.6">
      <c r="A19" s="9" t="s">
        <v>38</v>
      </c>
      <c r="B19" s="9" t="s">
        <v>39</v>
      </c>
      <c r="C19" s="9"/>
      <c r="D19" s="9" t="s">
        <v>3</v>
      </c>
      <c r="E19">
        <f t="shared" si="2"/>
        <v>18</v>
      </c>
      <c r="F19" t="s">
        <v>10</v>
      </c>
      <c r="G19" t="s">
        <v>69</v>
      </c>
      <c r="H19" s="2"/>
    </row>
    <row r="20" spans="1:9" x14ac:dyDescent="0.6">
      <c r="A20" s="9" t="s">
        <v>38</v>
      </c>
      <c r="B20" s="9" t="s">
        <v>39</v>
      </c>
      <c r="C20" s="9"/>
      <c r="D20" s="9" t="s">
        <v>3</v>
      </c>
      <c r="E20">
        <f t="shared" si="2"/>
        <v>19</v>
      </c>
      <c r="F20" t="s">
        <v>9</v>
      </c>
      <c r="G20" t="s">
        <v>69</v>
      </c>
      <c r="H20" s="2"/>
    </row>
    <row r="21" spans="1:9" x14ac:dyDescent="0.6">
      <c r="A21" s="9" t="s">
        <v>38</v>
      </c>
      <c r="B21" s="9" t="s">
        <v>39</v>
      </c>
      <c r="C21" s="9"/>
      <c r="D21" s="9" t="s">
        <v>3</v>
      </c>
      <c r="E21">
        <f t="shared" si="2"/>
        <v>20</v>
      </c>
      <c r="F21" t="s">
        <v>1</v>
      </c>
      <c r="G21" t="s">
        <v>69</v>
      </c>
      <c r="H21" s="2"/>
    </row>
    <row r="22" spans="1:9" x14ac:dyDescent="0.6">
      <c r="A22" s="9" t="s">
        <v>38</v>
      </c>
      <c r="B22" s="9" t="s">
        <v>39</v>
      </c>
      <c r="C22" s="9"/>
      <c r="D22" s="9" t="s">
        <v>3</v>
      </c>
      <c r="E22">
        <f t="shared" si="2"/>
        <v>21</v>
      </c>
      <c r="F22" t="s">
        <v>6</v>
      </c>
      <c r="G22" t="s">
        <v>69</v>
      </c>
      <c r="H22" s="2"/>
    </row>
    <row r="23" spans="1:9" x14ac:dyDescent="0.6">
      <c r="A23" s="9" t="s">
        <v>38</v>
      </c>
      <c r="B23" s="9" t="s">
        <v>39</v>
      </c>
      <c r="C23" s="9"/>
      <c r="D23" s="9" t="s">
        <v>3</v>
      </c>
      <c r="E23">
        <f t="shared" si="2"/>
        <v>22</v>
      </c>
      <c r="F23" t="s">
        <v>5</v>
      </c>
      <c r="G23" t="s">
        <v>69</v>
      </c>
      <c r="H23" s="2"/>
    </row>
    <row r="24" spans="1:9" x14ac:dyDescent="0.6">
      <c r="A24" s="9" t="s">
        <v>38</v>
      </c>
      <c r="B24" s="9" t="s">
        <v>39</v>
      </c>
      <c r="C24" s="9"/>
      <c r="D24" s="9" t="s">
        <v>3</v>
      </c>
      <c r="E24">
        <f t="shared" si="2"/>
        <v>23</v>
      </c>
      <c r="F24" t="s">
        <v>4</v>
      </c>
      <c r="G24" t="s">
        <v>69</v>
      </c>
      <c r="H24" s="2"/>
    </row>
    <row r="25" spans="1:9" x14ac:dyDescent="0.6">
      <c r="A25" s="9" t="s">
        <v>38</v>
      </c>
      <c r="B25" s="9" t="s">
        <v>39</v>
      </c>
      <c r="C25" s="9"/>
      <c r="D25" s="9" t="s">
        <v>3</v>
      </c>
      <c r="E25">
        <f t="shared" si="2"/>
        <v>24</v>
      </c>
      <c r="F25" t="s">
        <v>2</v>
      </c>
      <c r="G25" t="s">
        <v>69</v>
      </c>
      <c r="H25" s="2"/>
      <c r="I25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4DA82-6A21-44FC-86F1-F467AB2ECEED}">
  <dimension ref="A1:I37"/>
  <sheetViews>
    <sheetView zoomScaleNormal="100" workbookViewId="0">
      <pane xSplit="1" ySplit="1" topLeftCell="B16" activePane="bottomRight" state="frozen"/>
      <selection pane="topRight" activeCell="D1" sqref="D1"/>
      <selection pane="bottomLeft" activeCell="A2" sqref="A2"/>
      <selection pane="bottomRight" activeCell="E21" sqref="E21"/>
    </sheetView>
  </sheetViews>
  <sheetFormatPr defaultRowHeight="16.899999999999999" x14ac:dyDescent="0.6"/>
  <sheetData>
    <row r="1" spans="1:9" ht="35.65" x14ac:dyDescent="0.6">
      <c r="A1" s="14" t="s">
        <v>40</v>
      </c>
    </row>
    <row r="2" spans="1:9" x14ac:dyDescent="0.6">
      <c r="A2" s="14" t="s">
        <v>41</v>
      </c>
    </row>
    <row r="3" spans="1:9" ht="27" x14ac:dyDescent="0.6">
      <c r="A3" s="15" t="s">
        <v>42</v>
      </c>
    </row>
    <row r="4" spans="1:9" ht="28.8" customHeight="1" x14ac:dyDescent="0.6">
      <c r="A4" s="19" t="s">
        <v>43</v>
      </c>
      <c r="B4" s="12" t="s">
        <v>44</v>
      </c>
      <c r="C4" s="21"/>
      <c r="D4" s="12" t="s">
        <v>45</v>
      </c>
      <c r="E4" s="21"/>
      <c r="F4" s="12" t="s">
        <v>46</v>
      </c>
      <c r="G4" s="21"/>
      <c r="H4" s="12" t="s">
        <v>47</v>
      </c>
      <c r="I4" s="13"/>
    </row>
    <row r="5" spans="1:9" x14ac:dyDescent="0.6">
      <c r="A5" s="20"/>
      <c r="B5" s="1" t="s">
        <v>36</v>
      </c>
      <c r="C5" s="1" t="s">
        <v>37</v>
      </c>
      <c r="D5" s="1" t="s">
        <v>36</v>
      </c>
      <c r="E5" s="1" t="s">
        <v>37</v>
      </c>
      <c r="F5" s="1" t="s">
        <v>36</v>
      </c>
      <c r="G5" s="1" t="s">
        <v>37</v>
      </c>
      <c r="H5" s="1" t="s">
        <v>36</v>
      </c>
      <c r="I5" s="10" t="s">
        <v>37</v>
      </c>
    </row>
    <row r="6" spans="1:9" x14ac:dyDescent="0.6">
      <c r="A6" s="16" t="s">
        <v>35</v>
      </c>
      <c r="B6" s="4"/>
      <c r="C6" s="4"/>
      <c r="D6" s="4"/>
      <c r="E6" s="4"/>
      <c r="F6" s="4"/>
      <c r="G6" s="4"/>
      <c r="H6" s="4"/>
      <c r="I6" s="8"/>
    </row>
    <row r="7" spans="1:9" ht="54" x14ac:dyDescent="0.6">
      <c r="A7" s="16" t="s">
        <v>48</v>
      </c>
      <c r="B7" s="3">
        <v>1479046</v>
      </c>
      <c r="C7" s="3">
        <v>2735525</v>
      </c>
      <c r="D7" s="4" t="s">
        <v>70</v>
      </c>
      <c r="E7" s="4" t="s">
        <v>70</v>
      </c>
      <c r="F7" s="4" t="s">
        <v>70</v>
      </c>
      <c r="G7" s="4" t="s">
        <v>70</v>
      </c>
      <c r="H7" s="3">
        <v>1479046</v>
      </c>
      <c r="I7" s="5">
        <v>2735525</v>
      </c>
    </row>
    <row r="8" spans="1:9" ht="17" customHeight="1" x14ac:dyDescent="0.6">
      <c r="A8" s="16" t="s">
        <v>49</v>
      </c>
      <c r="B8" s="3">
        <v>43606</v>
      </c>
      <c r="C8" s="3">
        <v>77728</v>
      </c>
      <c r="D8" s="4" t="s">
        <v>70</v>
      </c>
      <c r="E8" s="4" t="s">
        <v>70</v>
      </c>
      <c r="F8" s="4" t="s">
        <v>70</v>
      </c>
      <c r="G8" s="4" t="s">
        <v>70</v>
      </c>
      <c r="H8" s="3">
        <v>43606</v>
      </c>
      <c r="I8" s="5">
        <v>77728</v>
      </c>
    </row>
    <row r="9" spans="1:9" ht="40.5" x14ac:dyDescent="0.6">
      <c r="A9" s="16" t="s">
        <v>50</v>
      </c>
      <c r="B9" s="3">
        <v>403888</v>
      </c>
      <c r="C9" s="3">
        <v>800349</v>
      </c>
      <c r="D9" s="4" t="s">
        <v>70</v>
      </c>
      <c r="E9" s="4" t="s">
        <v>70</v>
      </c>
      <c r="F9" s="4" t="s">
        <v>70</v>
      </c>
      <c r="G9" s="4" t="s">
        <v>70</v>
      </c>
      <c r="H9" s="3">
        <v>403888</v>
      </c>
      <c r="I9" s="5">
        <v>800349</v>
      </c>
    </row>
    <row r="10" spans="1:9" ht="40.5" x14ac:dyDescent="0.6">
      <c r="A10" s="16" t="s">
        <v>51</v>
      </c>
      <c r="B10" s="3">
        <v>306633</v>
      </c>
      <c r="C10" s="3">
        <v>604292</v>
      </c>
      <c r="D10" s="4" t="s">
        <v>70</v>
      </c>
      <c r="E10" s="4" t="s">
        <v>70</v>
      </c>
      <c r="F10" s="4" t="s">
        <v>70</v>
      </c>
      <c r="G10" s="4" t="s">
        <v>70</v>
      </c>
      <c r="H10" s="3">
        <v>306633</v>
      </c>
      <c r="I10" s="5">
        <v>604292</v>
      </c>
    </row>
    <row r="11" spans="1:9" ht="54" x14ac:dyDescent="0.6">
      <c r="A11" s="16" t="s">
        <v>52</v>
      </c>
      <c r="B11" s="3">
        <v>-1207</v>
      </c>
      <c r="C11" s="3">
        <v>8482</v>
      </c>
      <c r="D11" s="4" t="s">
        <v>70</v>
      </c>
      <c r="E11" s="4" t="s">
        <v>70</v>
      </c>
      <c r="F11" s="4" t="s">
        <v>70</v>
      </c>
      <c r="G11" s="4" t="s">
        <v>70</v>
      </c>
      <c r="H11" s="3">
        <v>-1207</v>
      </c>
      <c r="I11" s="5">
        <v>8482</v>
      </c>
    </row>
    <row r="12" spans="1:9" ht="54" x14ac:dyDescent="0.6">
      <c r="A12" s="16" t="s">
        <v>53</v>
      </c>
      <c r="B12" s="4" t="s">
        <v>70</v>
      </c>
      <c r="C12" s="4" t="s">
        <v>70</v>
      </c>
      <c r="D12" s="3">
        <v>1397905</v>
      </c>
      <c r="E12" s="3">
        <v>2796867</v>
      </c>
      <c r="F12" s="3">
        <v>647189</v>
      </c>
      <c r="G12" s="3">
        <v>1264154</v>
      </c>
      <c r="H12" s="3">
        <v>2045094</v>
      </c>
      <c r="I12" s="5">
        <v>4061021</v>
      </c>
    </row>
    <row r="13" spans="1:9" ht="27" x14ac:dyDescent="0.6">
      <c r="A13" s="17" t="s">
        <v>47</v>
      </c>
      <c r="B13" s="3">
        <v>2231966</v>
      </c>
      <c r="C13" s="3">
        <v>4226376</v>
      </c>
      <c r="D13" s="3">
        <v>1397905</v>
      </c>
      <c r="E13" s="3">
        <v>2796867</v>
      </c>
      <c r="F13" s="3">
        <v>647189</v>
      </c>
      <c r="G13" s="3">
        <v>1264154</v>
      </c>
      <c r="H13" s="3">
        <v>4277060</v>
      </c>
      <c r="I13" s="5">
        <v>8287397</v>
      </c>
    </row>
    <row r="14" spans="1:9" ht="27" x14ac:dyDescent="0.6">
      <c r="A14" s="16" t="s">
        <v>54</v>
      </c>
      <c r="B14" s="4"/>
      <c r="C14" s="4"/>
      <c r="D14" s="4"/>
      <c r="E14" s="4"/>
      <c r="F14" s="4"/>
      <c r="G14" s="4"/>
      <c r="H14" s="4"/>
      <c r="I14" s="8"/>
    </row>
    <row r="15" spans="1:9" ht="54" x14ac:dyDescent="0.6">
      <c r="A15" s="16" t="s">
        <v>55</v>
      </c>
      <c r="B15" s="3">
        <v>78743</v>
      </c>
      <c r="C15" s="3">
        <v>115560</v>
      </c>
      <c r="D15" s="4" t="s">
        <v>70</v>
      </c>
      <c r="E15" s="4" t="s">
        <v>70</v>
      </c>
      <c r="F15" s="4" t="s">
        <v>70</v>
      </c>
      <c r="G15" s="4" t="s">
        <v>70</v>
      </c>
      <c r="H15" s="3">
        <v>78743</v>
      </c>
      <c r="I15" s="5">
        <v>115560</v>
      </c>
    </row>
    <row r="16" spans="1:9" ht="54" x14ac:dyDescent="0.6">
      <c r="A16" s="16" t="s">
        <v>49</v>
      </c>
      <c r="B16" s="3">
        <v>4139</v>
      </c>
      <c r="C16" s="3">
        <v>6853</v>
      </c>
      <c r="D16" s="4" t="s">
        <v>70</v>
      </c>
      <c r="E16" s="4" t="s">
        <v>70</v>
      </c>
      <c r="F16" s="4" t="s">
        <v>70</v>
      </c>
      <c r="G16" s="4" t="s">
        <v>70</v>
      </c>
      <c r="H16" s="3">
        <v>4139</v>
      </c>
      <c r="I16" s="5">
        <v>6853</v>
      </c>
    </row>
    <row r="17" spans="1:9" ht="40.5" x14ac:dyDescent="0.6">
      <c r="A17" s="16" t="s">
        <v>56</v>
      </c>
      <c r="B17" s="3">
        <v>7676</v>
      </c>
      <c r="C17" s="3">
        <v>14909</v>
      </c>
      <c r="D17" s="4" t="s">
        <v>70</v>
      </c>
      <c r="E17" s="4" t="s">
        <v>70</v>
      </c>
      <c r="F17" s="4" t="s">
        <v>70</v>
      </c>
      <c r="G17" s="4" t="s">
        <v>70</v>
      </c>
      <c r="H17" s="3">
        <v>7676</v>
      </c>
      <c r="I17" s="5">
        <v>14909</v>
      </c>
    </row>
    <row r="18" spans="1:9" ht="40.5" x14ac:dyDescent="0.6">
      <c r="A18" s="16" t="s">
        <v>57</v>
      </c>
      <c r="B18" s="3">
        <v>-55322</v>
      </c>
      <c r="C18" s="3">
        <v>-38948</v>
      </c>
      <c r="D18" s="4" t="s">
        <v>70</v>
      </c>
      <c r="E18" s="4" t="s">
        <v>70</v>
      </c>
      <c r="F18" s="4" t="s">
        <v>70</v>
      </c>
      <c r="G18" s="4" t="s">
        <v>70</v>
      </c>
      <c r="H18" s="3">
        <v>-55322</v>
      </c>
      <c r="I18" s="5">
        <v>-38948</v>
      </c>
    </row>
    <row r="19" spans="1:9" ht="54" x14ac:dyDescent="0.6">
      <c r="A19" s="16" t="s">
        <v>58</v>
      </c>
      <c r="B19" s="4">
        <v>811</v>
      </c>
      <c r="C19" s="3">
        <v>1551</v>
      </c>
      <c r="D19" s="4" t="s">
        <v>70</v>
      </c>
      <c r="E19" s="4" t="s">
        <v>70</v>
      </c>
      <c r="F19" s="3">
        <v>232467</v>
      </c>
      <c r="G19" s="3">
        <v>463957</v>
      </c>
      <c r="H19" s="3">
        <v>233278</v>
      </c>
      <c r="I19" s="5">
        <v>465508</v>
      </c>
    </row>
    <row r="20" spans="1:9" ht="28.8" customHeight="1" x14ac:dyDescent="0.6">
      <c r="A20" s="18" t="s">
        <v>47</v>
      </c>
      <c r="B20" s="6">
        <v>36047</v>
      </c>
      <c r="C20" s="6">
        <v>99925</v>
      </c>
      <c r="D20" s="11" t="s">
        <v>70</v>
      </c>
      <c r="E20" s="11">
        <v>0</v>
      </c>
      <c r="F20" s="6">
        <v>232467</v>
      </c>
      <c r="G20" s="6">
        <v>463957</v>
      </c>
      <c r="H20" s="6">
        <v>268514</v>
      </c>
      <c r="I20" s="7">
        <v>563882</v>
      </c>
    </row>
    <row r="21" spans="1:9" ht="28.8" customHeight="1" x14ac:dyDescent="0.6">
      <c r="A21" s="22"/>
      <c r="B21" s="23"/>
      <c r="C21" s="23"/>
      <c r="D21" s="24"/>
      <c r="E21" s="24"/>
      <c r="F21" s="23"/>
      <c r="G21" s="23"/>
      <c r="H21" s="23"/>
      <c r="I21" s="23"/>
    </row>
    <row r="22" spans="1:9" ht="42.75" x14ac:dyDescent="0.6">
      <c r="A22" s="14" t="s">
        <v>59</v>
      </c>
    </row>
    <row r="23" spans="1:9" x14ac:dyDescent="0.6">
      <c r="A23" s="14" t="s">
        <v>41</v>
      </c>
    </row>
    <row r="24" spans="1:9" ht="43.25" customHeight="1" x14ac:dyDescent="0.6">
      <c r="A24" s="15" t="s">
        <v>42</v>
      </c>
    </row>
    <row r="25" spans="1:9" x14ac:dyDescent="0.6">
      <c r="A25" s="19" t="s">
        <v>43</v>
      </c>
      <c r="B25" s="12" t="s">
        <v>44</v>
      </c>
      <c r="C25" s="21"/>
      <c r="D25" s="12" t="s">
        <v>45</v>
      </c>
      <c r="E25" s="21"/>
      <c r="F25" s="12" t="s">
        <v>46</v>
      </c>
      <c r="G25" s="21"/>
      <c r="H25" s="12" t="s">
        <v>47</v>
      </c>
      <c r="I25" s="13"/>
    </row>
    <row r="26" spans="1:9" x14ac:dyDescent="0.6">
      <c r="A26" s="20"/>
      <c r="B26" s="1" t="s">
        <v>36</v>
      </c>
      <c r="C26" s="1" t="s">
        <v>37</v>
      </c>
      <c r="D26" s="1" t="s">
        <v>36</v>
      </c>
      <c r="E26" s="1" t="s">
        <v>37</v>
      </c>
      <c r="F26" s="1" t="s">
        <v>36</v>
      </c>
      <c r="G26" s="1" t="s">
        <v>37</v>
      </c>
      <c r="H26" s="1" t="s">
        <v>36</v>
      </c>
      <c r="I26" s="10" t="s">
        <v>37</v>
      </c>
    </row>
    <row r="27" spans="1:9" ht="27" x14ac:dyDescent="0.6">
      <c r="A27" s="16" t="s">
        <v>60</v>
      </c>
      <c r="B27" s="4"/>
      <c r="C27" s="4"/>
      <c r="D27" s="4"/>
      <c r="E27" s="4"/>
      <c r="F27" s="4"/>
      <c r="G27" s="4"/>
      <c r="H27" s="4"/>
      <c r="I27" s="8"/>
    </row>
    <row r="28" spans="1:9" ht="67.5" x14ac:dyDescent="0.6">
      <c r="A28" s="16" t="s">
        <v>61</v>
      </c>
      <c r="B28" s="3">
        <v>1522592</v>
      </c>
      <c r="C28" s="3">
        <v>2921985</v>
      </c>
      <c r="D28" s="3">
        <v>1238632</v>
      </c>
      <c r="E28" s="3">
        <v>2465033</v>
      </c>
      <c r="F28" s="3">
        <v>343732</v>
      </c>
      <c r="G28" s="3">
        <v>737794</v>
      </c>
      <c r="H28" s="3">
        <v>3104956</v>
      </c>
      <c r="I28" s="5">
        <v>6124812</v>
      </c>
    </row>
    <row r="29" spans="1:9" ht="67.5" x14ac:dyDescent="0.6">
      <c r="A29" s="16" t="s">
        <v>62</v>
      </c>
      <c r="B29" s="3">
        <v>-124547</v>
      </c>
      <c r="C29" s="3">
        <v>-318420</v>
      </c>
      <c r="D29" s="3">
        <v>-17543</v>
      </c>
      <c r="E29" s="3">
        <v>-61328</v>
      </c>
      <c r="F29" s="3">
        <v>7448</v>
      </c>
      <c r="G29" s="3">
        <v>19227</v>
      </c>
      <c r="H29" s="3">
        <v>-134642</v>
      </c>
      <c r="I29" s="5">
        <v>-360521</v>
      </c>
    </row>
    <row r="30" spans="1:9" ht="40.5" x14ac:dyDescent="0.6">
      <c r="A30" s="16" t="s">
        <v>63</v>
      </c>
      <c r="B30" s="3">
        <v>12440</v>
      </c>
      <c r="C30" s="3">
        <v>28174</v>
      </c>
      <c r="D30" s="4" t="s">
        <v>70</v>
      </c>
      <c r="E30" s="4" t="s">
        <v>70</v>
      </c>
      <c r="F30" s="4">
        <v>969</v>
      </c>
      <c r="G30" s="3">
        <v>2232</v>
      </c>
      <c r="H30" s="3">
        <v>13409</v>
      </c>
      <c r="I30" s="5">
        <v>30406</v>
      </c>
    </row>
    <row r="31" spans="1:9" ht="28.8" customHeight="1" x14ac:dyDescent="0.6">
      <c r="A31" s="16" t="s">
        <v>64</v>
      </c>
      <c r="B31" s="3">
        <v>306632</v>
      </c>
      <c r="C31" s="3">
        <v>604291</v>
      </c>
      <c r="D31" s="3">
        <v>110497</v>
      </c>
      <c r="E31" s="3">
        <v>217309</v>
      </c>
      <c r="F31" s="3">
        <v>52718</v>
      </c>
      <c r="G31" s="3">
        <v>101313</v>
      </c>
      <c r="H31" s="3">
        <v>469847</v>
      </c>
      <c r="I31" s="5">
        <v>922913</v>
      </c>
    </row>
    <row r="32" spans="1:9" x14ac:dyDescent="0.6">
      <c r="A32" s="17" t="s">
        <v>47</v>
      </c>
      <c r="B32" s="3">
        <v>1717117</v>
      </c>
      <c r="C32" s="3">
        <v>3236030</v>
      </c>
      <c r="D32" s="3">
        <v>1331586</v>
      </c>
      <c r="E32" s="3">
        <v>2621014</v>
      </c>
      <c r="F32" s="3">
        <v>404867</v>
      </c>
      <c r="G32" s="3">
        <v>860566</v>
      </c>
      <c r="H32" s="3">
        <v>3453570</v>
      </c>
      <c r="I32" s="5">
        <v>6717610</v>
      </c>
    </row>
    <row r="33" spans="1:9" ht="27" x14ac:dyDescent="0.6">
      <c r="A33" s="16" t="s">
        <v>65</v>
      </c>
      <c r="B33" s="4"/>
      <c r="C33" s="4"/>
      <c r="D33" s="4"/>
      <c r="E33" s="4"/>
      <c r="F33" s="4"/>
      <c r="G33" s="4"/>
      <c r="H33" s="4"/>
      <c r="I33" s="8"/>
    </row>
    <row r="34" spans="1:9" ht="54" x14ac:dyDescent="0.6">
      <c r="A34" s="16" t="s">
        <v>66</v>
      </c>
      <c r="B34" s="3">
        <v>16129</v>
      </c>
      <c r="C34" s="3">
        <v>95512</v>
      </c>
      <c r="D34" s="4">
        <v>1</v>
      </c>
      <c r="E34" s="4">
        <v>-2</v>
      </c>
      <c r="F34" s="3">
        <v>92706</v>
      </c>
      <c r="G34" s="3">
        <v>253853</v>
      </c>
      <c r="H34" s="3">
        <v>108836</v>
      </c>
      <c r="I34" s="5">
        <v>349363</v>
      </c>
    </row>
    <row r="35" spans="1:9" ht="67.5" x14ac:dyDescent="0.6">
      <c r="A35" s="16" t="s">
        <v>67</v>
      </c>
      <c r="B35" s="3">
        <v>-4250</v>
      </c>
      <c r="C35" s="3">
        <v>-34441</v>
      </c>
      <c r="D35" s="3">
        <v>-1256</v>
      </c>
      <c r="E35" s="3">
        <v>-1189</v>
      </c>
      <c r="F35" s="3">
        <v>-35468</v>
      </c>
      <c r="G35" s="3">
        <v>-68341</v>
      </c>
      <c r="H35" s="3">
        <v>-40974</v>
      </c>
      <c r="I35" s="5">
        <v>-103971</v>
      </c>
    </row>
    <row r="36" spans="1:9" ht="54" x14ac:dyDescent="0.6">
      <c r="A36" s="16" t="s">
        <v>68</v>
      </c>
      <c r="B36" s="3">
        <v>1374</v>
      </c>
      <c r="C36" s="3">
        <v>2851</v>
      </c>
      <c r="D36" s="4" t="s">
        <v>70</v>
      </c>
      <c r="E36" s="4" t="s">
        <v>70</v>
      </c>
      <c r="F36" s="4">
        <v>-114</v>
      </c>
      <c r="G36" s="4">
        <v>-219</v>
      </c>
      <c r="H36" s="3">
        <v>1260</v>
      </c>
      <c r="I36" s="5">
        <v>2632</v>
      </c>
    </row>
    <row r="37" spans="1:9" x14ac:dyDescent="0.6">
      <c r="A37" s="18" t="s">
        <v>47</v>
      </c>
      <c r="B37" s="6">
        <v>13253</v>
      </c>
      <c r="C37" s="6">
        <v>63922</v>
      </c>
      <c r="D37" s="6">
        <v>-1255</v>
      </c>
      <c r="E37" s="6">
        <v>-1191</v>
      </c>
      <c r="F37" s="6">
        <v>57124</v>
      </c>
      <c r="G37" s="6">
        <v>185293</v>
      </c>
      <c r="H37" s="6">
        <v>69122</v>
      </c>
      <c r="I37" s="7">
        <v>248024</v>
      </c>
    </row>
  </sheetData>
  <mergeCells count="10">
    <mergeCell ref="A25:A26"/>
    <mergeCell ref="B25:C25"/>
    <mergeCell ref="D25:E25"/>
    <mergeCell ref="F25:G25"/>
    <mergeCell ref="H25:I25"/>
    <mergeCell ref="D4:E4"/>
    <mergeCell ref="F4:G4"/>
    <mergeCell ref="H4:I4"/>
    <mergeCell ref="A4:A5"/>
    <mergeCell ref="B4:C4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보험손익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조상욱(Sang Wook Cho)</dc:creator>
  <cp:lastModifiedBy>조상욱(Sang Wook Cho)</cp:lastModifiedBy>
  <dcterms:created xsi:type="dcterms:W3CDTF">2026-06-01T12:02:49Z</dcterms:created>
  <dcterms:modified xsi:type="dcterms:W3CDTF">2026-06-06T08:26:38Z</dcterms:modified>
</cp:coreProperties>
</file>