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gold\"/>
    </mc:Choice>
  </mc:AlternateContent>
  <xr:revisionPtr revIDLastSave="0" documentId="13_ncr:1_{CBBE34EE-58ED-4F7A-8352-3415361E4388}" xr6:coauthVersionLast="47" xr6:coauthVersionMax="47" xr10:uidLastSave="{00000000-0000-0000-0000-000000000000}"/>
  <bookViews>
    <workbookView xWindow="-98" yWindow="-98" windowWidth="21795" windowHeight="13335" xr2:uid="{3CD259B9-5A78-42E0-B669-107C3DC53255}"/>
  </bookViews>
  <sheets>
    <sheet name="Sheet2" sheetId="2" r:id="rId1"/>
    <sheet name="부문별" sheetId="1" r:id="rId2"/>
    <sheet name="포괄손익계산서" sheetId="3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2" l="1"/>
  <c r="I25" i="2"/>
  <c r="H24" i="2"/>
  <c r="I23" i="2"/>
  <c r="H22" i="2"/>
  <c r="I21" i="2"/>
  <c r="H18" i="2"/>
  <c r="H19" i="2"/>
  <c r="H20" i="2"/>
  <c r="H17" i="2"/>
  <c r="F10" i="3"/>
  <c r="H4" i="2"/>
  <c r="H9" i="2"/>
  <c r="H7" i="2"/>
  <c r="H6" i="2"/>
  <c r="H5" i="2"/>
  <c r="H3" i="2" l="1"/>
  <c r="H8" i="2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H2" i="2" l="1"/>
  <c r="H21" i="2" l="1"/>
  <c r="H23" i="2" l="1"/>
  <c r="H25" i="2" l="1"/>
</calcChain>
</file>

<file path=xl/sharedStrings.xml><?xml version="1.0" encoding="utf-8"?>
<sst xmlns="http://schemas.openxmlformats.org/spreadsheetml/2006/main" count="224" uniqueCount="149">
  <si>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</si>
  <si>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</si>
  <si>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</si>
  <si>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</si>
  <si>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</si>
  <si>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</si>
  <si>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</si>
  <si>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값</t>
  </si>
  <si>
    <t>검증</t>
    <phoneticPr fontId="2" type="noConversion"/>
  </si>
  <si>
    <t>보험손익</t>
    <phoneticPr fontId="2" type="noConversion"/>
  </si>
  <si>
    <t>자동차손익</t>
  </si>
  <si>
    <t>일반손익</t>
  </si>
  <si>
    <t>기타영업수익</t>
    <phoneticPr fontId="2" type="noConversion"/>
  </si>
  <si>
    <t>기타사업비용</t>
    <phoneticPr fontId="2" type="noConversion"/>
  </si>
  <si>
    <t>투자손익</t>
    <phoneticPr fontId="2" type="noConversion"/>
  </si>
  <si>
    <t>투자이익</t>
  </si>
  <si>
    <t>보험금융손익</t>
  </si>
  <si>
    <t>영업이익</t>
  </si>
  <si>
    <t>영업외손익</t>
  </si>
  <si>
    <t>세전이익</t>
  </si>
  <si>
    <t>법인세</t>
  </si>
  <si>
    <t>당기순이익</t>
  </si>
  <si>
    <t>생명보험</t>
    <phoneticPr fontId="2" type="noConversion"/>
  </si>
  <si>
    <t>(단위 : 백만원)</t>
  </si>
  <si>
    <t>생명장기 손익</t>
    <phoneticPr fontId="2" type="noConversion"/>
  </si>
  <si>
    <t>생명장기 원수손익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</si>
  <si>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</si>
  <si>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</si>
  <si>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</si>
  <si>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</si>
  <si>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생명장기 재보험손익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</si>
  <si>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</si>
  <si>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</si>
  <si>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</si>
  <si>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</si>
  <si>
    <t>당반기와 전반기 중 순보험손익은 다음과 같습니다.</t>
  </si>
  <si>
    <t>구분</t>
  </si>
  <si>
    <t>당반기</t>
  </si>
  <si>
    <t>전반기</t>
  </si>
  <si>
    <t>3개월</t>
  </si>
  <si>
    <t>누적</t>
  </si>
  <si>
    <t>보험수익</t>
  </si>
  <si>
    <t> 보험료배분접근법 미적용 계약</t>
  </si>
  <si>
    <t>   예상 발생보험금</t>
  </si>
  <si>
    <t>   예상 기타보험서비스비용</t>
  </si>
  <si>
    <t>   위험조정 변동</t>
  </si>
  <si>
    <t>   제공된 서비스의 보험계약마진</t>
  </si>
  <si>
    <t>   보험취득현금흐름 회수</t>
  </si>
  <si>
    <t>   손실요소 배분액</t>
  </si>
  <si>
    <t>총 보험수익</t>
  </si>
  <si>
    <t>보험서비스비용</t>
  </si>
  <si>
    <t>   실제 발생보험금</t>
  </si>
  <si>
    <t>   실제 기타보험서비스비용</t>
  </si>
  <si>
    <t>   손실부담계약 인식 및 환입</t>
  </si>
  <si>
    <t>   발생사고부채 변동</t>
  </si>
  <si>
    <t>   보험취득현금흐름 상각</t>
  </si>
  <si>
    <t>   기타영업비용</t>
  </si>
  <si>
    <t>총 보험서비스비용</t>
  </si>
  <si>
    <t>발행한 보험계약의 보험서비스결과</t>
  </si>
  <si>
    <t> 재보험수익</t>
  </si>
  <si>
    <t> 재보험비용</t>
  </si>
  <si>
    <t>재보험계약의 보험서비스결과</t>
  </si>
  <si>
    <t> 기타보험비용</t>
  </si>
  <si>
    <t>총 보험서비스결과</t>
  </si>
  <si>
    <t>22. 순보험손익</t>
    <phoneticPr fontId="2" type="noConversion"/>
  </si>
  <si>
    <t>동양생명</t>
    <phoneticPr fontId="2" type="noConversion"/>
  </si>
  <si>
    <t>2023.2Q</t>
    <phoneticPr fontId="2" type="noConversion"/>
  </si>
  <si>
    <t>나. 포괄손익계산서</t>
  </si>
  <si>
    <t>                                               포 괄 손 익 계 산 서</t>
  </si>
  <si>
    <t>제35기 2분기 (2023. 01. 01 ~ 2023. 6. 30)</t>
  </si>
  <si>
    <t>제34기 2분기 (2022. 01. 01 ~ 2022. 6. 30)</t>
  </si>
  <si>
    <t>(단위 : 원)</t>
  </si>
  <si>
    <t>과 목</t>
  </si>
  <si>
    <t>주석</t>
  </si>
  <si>
    <t>제35기 2분기 </t>
  </si>
  <si>
    <t>제34기 2분기</t>
  </si>
  <si>
    <t>Ⅰ. 순보험서비스손익</t>
  </si>
  <si>
    <t>  1. 보험계약의 보험서비스결과</t>
  </si>
  <si>
    <t>14, 22</t>
  </si>
  <si>
    <t>    (1) 보험수익</t>
  </si>
  <si>
    <t>      가. 예상 발생보험금</t>
  </si>
  <si>
    <t>      나. 예상 기타보험서비스비용</t>
  </si>
  <si>
    <t>      다. 위험조정 변동</t>
  </si>
  <si>
    <t>      라. 제공된 서비스의 보험계약마진</t>
  </si>
  <si>
    <t>      마. 보험취득현금흐름 회수</t>
  </si>
  <si>
    <t>      바. 손실요소 배분액</t>
  </si>
  <si>
    <t>    (2) 보험서비스비용</t>
  </si>
  <si>
    <t>      가. 실제 발생보험금</t>
  </si>
  <si>
    <t>      나. 실제 기타보험서비스비용</t>
  </si>
  <si>
    <t>      다. 손실부담계약 인식 및 환입</t>
  </si>
  <si>
    <t>      라. 발생사고부채 변동</t>
  </si>
  <si>
    <t>      마. 보험취득현금흐름 상각</t>
  </si>
  <si>
    <t>      사. 기타영업비용</t>
  </si>
  <si>
    <t>  2. 재보험계약의 보험서비스결과</t>
  </si>
  <si>
    <t>    (1) 재보험수익</t>
  </si>
  <si>
    <t>    (2) 재보험비용</t>
  </si>
  <si>
    <t>  3. 기타보험비용</t>
  </si>
  <si>
    <t>Ⅱ. 순투자손익</t>
  </si>
  <si>
    <t>  1. 투자영업수익</t>
  </si>
  <si>
    <t>23, 24, 25, 26, 30</t>
  </si>
  <si>
    <t>    (1) 이자수익</t>
  </si>
  <si>
    <t>    (2) 배당수익</t>
  </si>
  <si>
    <t>    (3) 당기손익-공정가치측정금융자산관련이익  </t>
  </si>
  <si>
    <t>    (4) 당기손익인식금융자산관련이익</t>
  </si>
  <si>
    <t>    (5) 기타포괄손익-공정가치측정금융자산관련이익  </t>
  </si>
  <si>
    <t>    (6) 매도가능금융자산관련이익</t>
  </si>
  <si>
    <t>    (7) 상각후원가측정금융자산관련이익  </t>
  </si>
  <si>
    <t>    (8) 기대신용손실환입액  </t>
  </si>
  <si>
    <t>    (9) 손상차손환입</t>
  </si>
  <si>
    <t>    (10) 외환거래이익</t>
  </si>
  <si>
    <t>    (11) 파생상품관련이익</t>
  </si>
  <si>
    <t>    (12) 수수료수익</t>
  </si>
  <si>
    <t>    (13) 기타투자이익</t>
  </si>
  <si>
    <t>  2. 투자영업비용</t>
  </si>
  <si>
    <t>23, 24, 25, 26, 27, 30</t>
  </si>
  <si>
    <t>    (1) 이자비용</t>
  </si>
  <si>
    <t>    (2) 당기손익-공정가치측정금융자산관련손실</t>
  </si>
  <si>
    <t>    (3) 당기손익인식금융자산관련손실</t>
  </si>
  <si>
    <t>    (4) 기타포괄손익-공정가치측정금융자산관련손실</t>
  </si>
  <si>
    <t>    (5) 매도가능금융자산관련손실</t>
  </si>
  <si>
    <t>    (6) 상각후원가측정금융자산관련손실</t>
  </si>
  <si>
    <t>    (7) 기대신용손실전입액</t>
  </si>
  <si>
    <t>    (8) 손상차손</t>
  </si>
  <si>
    <t>    (9) 외환거래손실</t>
  </si>
  <si>
    <t>    (10) 파생상품관련손실</t>
  </si>
  <si>
    <t>    (11) 재산관리비</t>
  </si>
  <si>
    <t>    (12) 기타투자손실</t>
  </si>
  <si>
    <t>Ⅲ. 순보험금융손익</t>
  </si>
  <si>
    <t>   1. 보험계약의 보험금융손익</t>
  </si>
  <si>
    <t>   2. 재보험계약의 보험금융손익</t>
  </si>
  <si>
    <t>Ⅳ. 영업이익</t>
  </si>
  <si>
    <t>Ⅴ. 영업외수익</t>
  </si>
  <si>
    <t>Ⅵ. 영업외비용</t>
  </si>
  <si>
    <t>Ⅶ. 법인세비용차감전 손익</t>
  </si>
  <si>
    <t>Ⅷ. 법인세비용</t>
  </si>
  <si>
    <t>Ⅸ. 반기순이익</t>
  </si>
  <si>
    <t>Ⅹ. 기타포괄손익</t>
  </si>
  <si>
    <t>  1. 후속적으로 당기손익으로 재분류될 수 있는 포괄손익</t>
  </si>
  <si>
    <t>    (1) 매도가능금융자산평가손익</t>
  </si>
  <si>
    <t>    (2) 만기보유금융자산평가손익</t>
  </si>
  <si>
    <t>    (3) 기타포괄손익-공정가치측정채무증권평가손익</t>
  </si>
  <si>
    <t>    (4) 현금흐름위험회피파생상품평가손익</t>
  </si>
  <si>
    <t>    (5) 보험금융기타포괄손익</t>
  </si>
  <si>
    <t>  2. 후속적으로 당기손익으로 재분류되지 않는 포괄손익</t>
  </si>
  <si>
    <t>    (1) 기타포괄손익-공정가치측정지분증권평가손익</t>
  </si>
  <si>
    <t>    (2) 재평가잉여금</t>
  </si>
  <si>
    <t>    (3) 순확정급여채무의 재측정요소</t>
  </si>
  <si>
    <t> XI. 총포괄손익</t>
  </si>
  <si>
    <t>기본 및 희석주당이익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</si>
</sst>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000000"/>
      <name val="굴림"/>
      <family val="3"/>
      <charset val="129"/>
    </font>
    <font>
      <sz val="6"/>
      <color rgb="FF000000"/>
      <name val="바탕"/>
      <family val="1"/>
      <charset val="129"/>
    </font>
    <font>
      <sz val="10"/>
      <color rgb="FF000000"/>
      <name val="굴림"/>
      <family val="3"/>
      <charset val="129"/>
    </font>
    <font>
      <b/>
      <sz val="6"/>
      <color rgb="FF000000"/>
      <name val="굴림"/>
      <family val="3"/>
      <charset val="129"/>
    </font>
    <font>
      <sz val="6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3" fontId="3" fillId="0" borderId="0" xfId="0" applyNumberFormat="1" applyFon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0" fontId="4" fillId="0" borderId="0" xfId="0" applyFont="1">
      <alignment vertical="center"/>
    </xf>
    <xf numFmtId="0" fontId="6" fillId="0" borderId="0" xfId="0" applyFont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top" wrapText="1"/>
    </xf>
    <xf numFmtId="3" fontId="7" fillId="0" borderId="3" xfId="0" applyNumberFormat="1" applyFont="1" applyBorder="1" applyAlignment="1">
      <alignment horizontal="righ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right" vertical="center" wrapText="1"/>
    </xf>
    <xf numFmtId="3" fontId="7" fillId="0" borderId="6" xfId="0" applyNumberFormat="1" applyFont="1" applyBorder="1" applyAlignment="1">
      <alignment horizontal="right" vertical="center" wrapText="1"/>
    </xf>
    <xf numFmtId="0" fontId="7" fillId="2" borderId="15" xfId="0" applyFont="1" applyFill="1" applyBorder="1" applyAlignment="1">
      <alignment horizontal="right" vertical="center" wrapText="1"/>
    </xf>
    <xf numFmtId="0" fontId="7" fillId="2" borderId="16" xfId="0" applyFont="1" applyFill="1" applyBorder="1" applyAlignment="1">
      <alignment horizontal="right" vertical="center" wrapText="1"/>
    </xf>
    <xf numFmtId="0" fontId="7" fillId="2" borderId="17" xfId="0" applyFont="1" applyFill="1" applyBorder="1" applyAlignment="1">
      <alignment horizontal="right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7" fillId="0" borderId="18" xfId="0" applyFont="1" applyBorder="1" applyAlignment="1">
      <alignment vertical="top" wrapText="1"/>
    </xf>
    <xf numFmtId="0" fontId="7" fillId="0" borderId="11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8" fillId="0" borderId="0" xfId="0" applyFont="1" applyAlignment="1">
      <alignment horizontal="justify" vertical="center" wrapText="1"/>
    </xf>
    <xf numFmtId="0" fontId="9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vertical="top"/>
    </xf>
    <xf numFmtId="0" fontId="1" fillId="0" borderId="4" xfId="0" applyFont="1" applyBorder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I25"/>
  <sheetViews>
    <sheetView tabSelected="1" zoomScale="70" zoomScaleNormal="70" workbookViewId="0"/>
  </sheetViews>
  <sheetFormatPr defaultRowHeight="16.899999999999999" x14ac:dyDescent="0.6"/>
  <cols>
    <col min="6" max="6" width="17.3125" bestFit="1" customWidth="1"/>
    <col min="8" max="8" width="15.1875" bestFit="1" customWidth="1"/>
  </cols>
  <sheetData>
    <row r="1" spans="1:9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6">
      <c r="A2" s="2"/>
      <c r="B2" s="2" t="s">
        <v>65</v>
      </c>
      <c r="C2" s="2"/>
      <c r="D2" s="2" t="s">
        <v>22</v>
      </c>
      <c r="E2" s="2">
        <v>1</v>
      </c>
      <c r="F2" t="s">
        <v>9</v>
      </c>
      <c r="G2" s="2" t="s">
        <v>66</v>
      </c>
      <c r="H2" s="1">
        <f>H3+H14+H15+H16-H17</f>
        <v>116208</v>
      </c>
      <c r="I2" t="b">
        <f>ROUND(H2,0)=ROUND(포괄손익계산서!C7/1000000,0)</f>
        <v>1</v>
      </c>
    </row>
    <row r="3" spans="1:9" x14ac:dyDescent="0.6">
      <c r="A3" s="2"/>
      <c r="B3" s="2" t="s">
        <v>65</v>
      </c>
      <c r="C3" s="2"/>
      <c r="D3" s="2" t="s">
        <v>22</v>
      </c>
      <c r="E3">
        <f t="shared" ref="E3:E6" si="0">E2+1</f>
        <v>2</v>
      </c>
      <c r="F3" t="s">
        <v>24</v>
      </c>
      <c r="G3" t="s">
        <v>66</v>
      </c>
      <c r="H3" s="1">
        <f>H4+H9</f>
        <v>128768</v>
      </c>
    </row>
    <row r="4" spans="1:9" x14ac:dyDescent="0.6">
      <c r="A4" s="2"/>
      <c r="B4" s="2" t="s">
        <v>65</v>
      </c>
      <c r="C4" s="2"/>
      <c r="D4" s="2" t="s">
        <v>22</v>
      </c>
      <c r="E4">
        <f t="shared" si="0"/>
        <v>3</v>
      </c>
      <c r="F4" t="s">
        <v>25</v>
      </c>
      <c r="G4" t="s">
        <v>66</v>
      </c>
      <c r="H4" s="1">
        <f>부문별!C14-부문별!C23</f>
        <v>130035</v>
      </c>
      <c r="I4" s="3"/>
    </row>
    <row r="5" spans="1:9" x14ac:dyDescent="0.6">
      <c r="A5" s="2"/>
      <c r="B5" s="2" t="s">
        <v>65</v>
      </c>
      <c r="C5" s="2"/>
      <c r="D5" s="2" t="s">
        <v>22</v>
      </c>
      <c r="E5">
        <f t="shared" si="0"/>
        <v>4</v>
      </c>
      <c r="F5" t="s">
        <v>26</v>
      </c>
      <c r="G5" t="s">
        <v>66</v>
      </c>
      <c r="H5" s="3">
        <f>부문별!C11</f>
        <v>127412</v>
      </c>
    </row>
    <row r="6" spans="1:9" x14ac:dyDescent="0.6">
      <c r="A6" s="2"/>
      <c r="B6" s="2" t="s">
        <v>65</v>
      </c>
      <c r="C6" s="2"/>
      <c r="D6" s="2" t="s">
        <v>22</v>
      </c>
      <c r="E6">
        <f t="shared" si="0"/>
        <v>5</v>
      </c>
      <c r="F6" t="s">
        <v>27</v>
      </c>
      <c r="G6" t="s">
        <v>66</v>
      </c>
      <c r="H6" s="3">
        <f>부문별!C10</f>
        <v>22438</v>
      </c>
    </row>
    <row r="7" spans="1:9" x14ac:dyDescent="0.6">
      <c r="A7" s="2"/>
      <c r="B7" s="2" t="s">
        <v>65</v>
      </c>
      <c r="C7" s="2"/>
      <c r="D7" s="2" t="s">
        <v>22</v>
      </c>
      <c r="E7">
        <f t="shared" ref="E7:E25" si="1">E6+1</f>
        <v>6</v>
      </c>
      <c r="F7" t="s">
        <v>28</v>
      </c>
      <c r="G7" t="s">
        <v>66</v>
      </c>
      <c r="H7" s="1">
        <f>부문별!C8+부문별!C9-부문별!C16-부문별!C17</f>
        <v>5817</v>
      </c>
    </row>
    <row r="8" spans="1:9" x14ac:dyDescent="0.6">
      <c r="A8" s="2"/>
      <c r="B8" s="2" t="s">
        <v>65</v>
      </c>
      <c r="C8" s="2"/>
      <c r="D8" s="2" t="s">
        <v>22</v>
      </c>
      <c r="E8">
        <f t="shared" si="1"/>
        <v>7</v>
      </c>
      <c r="F8" t="s">
        <v>29</v>
      </c>
      <c r="G8" t="s">
        <v>66</v>
      </c>
      <c r="H8" s="1">
        <f>H4-SUM(H5:H7)</f>
        <v>-25632</v>
      </c>
    </row>
    <row r="9" spans="1:9" x14ac:dyDescent="0.6">
      <c r="A9" s="2"/>
      <c r="B9" s="2" t="s">
        <v>65</v>
      </c>
      <c r="C9" s="2"/>
      <c r="D9" s="2" t="s">
        <v>22</v>
      </c>
      <c r="E9">
        <f t="shared" si="1"/>
        <v>8</v>
      </c>
      <c r="F9" t="s">
        <v>30</v>
      </c>
      <c r="G9" t="s">
        <v>66</v>
      </c>
      <c r="H9" s="1">
        <f>부문별!C25-부문별!C26</f>
        <v>-1267</v>
      </c>
    </row>
    <row r="10" spans="1:9" x14ac:dyDescent="0.6">
      <c r="A10" s="2"/>
      <c r="B10" s="2" t="s">
        <v>65</v>
      </c>
      <c r="C10" s="2"/>
      <c r="D10" s="2" t="s">
        <v>22</v>
      </c>
      <c r="E10">
        <f t="shared" si="1"/>
        <v>9</v>
      </c>
      <c r="F10" t="s">
        <v>31</v>
      </c>
      <c r="G10" t="s">
        <v>66</v>
      </c>
      <c r="H10" s="1"/>
    </row>
    <row r="11" spans="1:9" x14ac:dyDescent="0.6">
      <c r="A11" s="2"/>
      <c r="B11" s="2" t="s">
        <v>65</v>
      </c>
      <c r="C11" s="2"/>
      <c r="D11" s="2" t="s">
        <v>22</v>
      </c>
      <c r="E11">
        <f t="shared" si="1"/>
        <v>10</v>
      </c>
      <c r="F11" t="s">
        <v>32</v>
      </c>
      <c r="G11" t="s">
        <v>66</v>
      </c>
      <c r="H11" s="1"/>
    </row>
    <row r="12" spans="1:9" x14ac:dyDescent="0.6">
      <c r="A12" s="2"/>
      <c r="B12" s="2" t="s">
        <v>65</v>
      </c>
      <c r="C12" s="2"/>
      <c r="D12" s="2" t="s">
        <v>22</v>
      </c>
      <c r="E12">
        <f t="shared" si="1"/>
        <v>11</v>
      </c>
      <c r="F12" t="s">
        <v>33</v>
      </c>
      <c r="G12" t="s">
        <v>66</v>
      </c>
      <c r="H12" s="1"/>
    </row>
    <row r="13" spans="1:9" x14ac:dyDescent="0.6">
      <c r="A13" s="2"/>
      <c r="B13" s="2" t="s">
        <v>65</v>
      </c>
      <c r="C13" s="2"/>
      <c r="D13" s="2" t="s">
        <v>22</v>
      </c>
      <c r="E13">
        <f t="shared" si="1"/>
        <v>12</v>
      </c>
      <c r="F13" t="s">
        <v>34</v>
      </c>
      <c r="G13" t="s">
        <v>66</v>
      </c>
      <c r="H13" s="1"/>
    </row>
    <row r="14" spans="1:9" x14ac:dyDescent="0.6">
      <c r="A14" s="2"/>
      <c r="B14" s="2" t="s">
        <v>65</v>
      </c>
      <c r="C14" s="2"/>
      <c r="D14" s="2" t="s">
        <v>22</v>
      </c>
      <c r="E14">
        <f t="shared" si="1"/>
        <v>13</v>
      </c>
      <c r="F14" t="s">
        <v>10</v>
      </c>
      <c r="G14" t="s">
        <v>66</v>
      </c>
      <c r="H14" s="1">
        <v>0</v>
      </c>
    </row>
    <row r="15" spans="1:9" x14ac:dyDescent="0.6">
      <c r="A15" s="2"/>
      <c r="B15" s="2" t="s">
        <v>65</v>
      </c>
      <c r="C15" s="2"/>
      <c r="D15" s="2" t="s">
        <v>22</v>
      </c>
      <c r="E15">
        <f t="shared" si="1"/>
        <v>14</v>
      </c>
      <c r="F15" t="s">
        <v>11</v>
      </c>
      <c r="G15" t="s">
        <v>66</v>
      </c>
      <c r="H15" s="1">
        <v>0</v>
      </c>
    </row>
    <row r="16" spans="1:9" x14ac:dyDescent="0.6">
      <c r="A16" s="2"/>
      <c r="B16" s="2" t="s">
        <v>65</v>
      </c>
      <c r="C16" s="2"/>
      <c r="D16" s="2" t="s">
        <v>22</v>
      </c>
      <c r="E16">
        <f t="shared" si="1"/>
        <v>15</v>
      </c>
      <c r="F16" t="s">
        <v>12</v>
      </c>
      <c r="G16" t="s">
        <v>66</v>
      </c>
      <c r="H16" s="1">
        <v>0</v>
      </c>
    </row>
    <row r="17" spans="1:9" x14ac:dyDescent="0.6">
      <c r="A17" s="2"/>
      <c r="B17" s="2" t="s">
        <v>65</v>
      </c>
      <c r="C17" s="2"/>
      <c r="D17" s="2" t="s">
        <v>22</v>
      </c>
      <c r="E17">
        <f t="shared" si="1"/>
        <v>16</v>
      </c>
      <c r="F17" t="s">
        <v>13</v>
      </c>
      <c r="G17" t="s">
        <v>66</v>
      </c>
      <c r="H17" s="1">
        <f>부문별!C28</f>
        <v>12560</v>
      </c>
    </row>
    <row r="18" spans="1:9" x14ac:dyDescent="0.6">
      <c r="A18" s="2"/>
      <c r="B18" s="2" t="s">
        <v>65</v>
      </c>
      <c r="C18" s="2"/>
      <c r="D18" s="2" t="s">
        <v>22</v>
      </c>
      <c r="E18">
        <f t="shared" si="1"/>
        <v>17</v>
      </c>
      <c r="F18" t="s">
        <v>14</v>
      </c>
      <c r="G18" t="s">
        <v>66</v>
      </c>
      <c r="H18" s="1">
        <f>SUM(H19:H20)</f>
        <v>133169.08289800002</v>
      </c>
    </row>
    <row r="19" spans="1:9" x14ac:dyDescent="0.6">
      <c r="A19" s="2"/>
      <c r="B19" s="2" t="s">
        <v>65</v>
      </c>
      <c r="C19" s="2"/>
      <c r="D19" s="2" t="s">
        <v>22</v>
      </c>
      <c r="E19">
        <f t="shared" si="1"/>
        <v>18</v>
      </c>
      <c r="F19" t="s">
        <v>15</v>
      </c>
      <c r="G19" t="s">
        <v>66</v>
      </c>
      <c r="H19" s="1">
        <f>포괄손익계산서!C28/1000000</f>
        <v>699587.16390799999</v>
      </c>
    </row>
    <row r="20" spans="1:9" x14ac:dyDescent="0.6">
      <c r="A20" s="2"/>
      <c r="B20" s="2" t="s">
        <v>65</v>
      </c>
      <c r="C20" s="2"/>
      <c r="D20" s="2" t="s">
        <v>22</v>
      </c>
      <c r="E20">
        <f t="shared" si="1"/>
        <v>19</v>
      </c>
      <c r="F20" t="s">
        <v>16</v>
      </c>
      <c r="G20" t="s">
        <v>66</v>
      </c>
      <c r="H20" s="1">
        <f>포괄손익계산서!C56/1000000</f>
        <v>-566418.08100999997</v>
      </c>
    </row>
    <row r="21" spans="1:9" x14ac:dyDescent="0.6">
      <c r="A21" s="2"/>
      <c r="B21" s="2" t="s">
        <v>65</v>
      </c>
      <c r="C21" s="2"/>
      <c r="D21" s="2" t="s">
        <v>22</v>
      </c>
      <c r="E21">
        <f t="shared" si="1"/>
        <v>20</v>
      </c>
      <c r="F21" t="s">
        <v>17</v>
      </c>
      <c r="G21" t="s">
        <v>66</v>
      </c>
      <c r="H21" s="1">
        <f>H2+H18</f>
        <v>249377.08289800002</v>
      </c>
      <c r="I21" t="b">
        <f>ROUND(H21,0)=ROUND(포괄손익계산서!C59/1000000,0)</f>
        <v>1</v>
      </c>
    </row>
    <row r="22" spans="1:9" x14ac:dyDescent="0.6">
      <c r="A22" s="2"/>
      <c r="B22" s="2" t="s">
        <v>65</v>
      </c>
      <c r="C22" s="2"/>
      <c r="D22" s="2" t="s">
        <v>22</v>
      </c>
      <c r="E22">
        <f t="shared" si="1"/>
        <v>21</v>
      </c>
      <c r="F22" t="s">
        <v>18</v>
      </c>
      <c r="G22" t="s">
        <v>66</v>
      </c>
      <c r="H22" s="1">
        <f>(포괄손익계산서!C60-포괄손익계산서!C61)/1000000</f>
        <v>3071.8474759999999</v>
      </c>
    </row>
    <row r="23" spans="1:9" x14ac:dyDescent="0.6">
      <c r="A23" s="2"/>
      <c r="B23" s="2" t="s">
        <v>65</v>
      </c>
      <c r="C23" s="2"/>
      <c r="D23" s="2" t="s">
        <v>22</v>
      </c>
      <c r="E23">
        <f t="shared" si="1"/>
        <v>22</v>
      </c>
      <c r="F23" t="s">
        <v>19</v>
      </c>
      <c r="G23" t="s">
        <v>66</v>
      </c>
      <c r="H23" s="1">
        <f>H21+H22</f>
        <v>252448.93037400002</v>
      </c>
      <c r="I23" t="b">
        <f>ROUND(H23,0)=ROUND(포괄손익계산서!C62/1000000,0)</f>
        <v>1</v>
      </c>
    </row>
    <row r="24" spans="1:9" x14ac:dyDescent="0.6">
      <c r="A24" s="2"/>
      <c r="B24" s="2" t="s">
        <v>65</v>
      </c>
      <c r="C24" s="2"/>
      <c r="D24" s="2" t="s">
        <v>22</v>
      </c>
      <c r="E24">
        <f t="shared" si="1"/>
        <v>23</v>
      </c>
      <c r="F24" t="s">
        <v>20</v>
      </c>
      <c r="G24" t="s">
        <v>66</v>
      </c>
      <c r="H24" s="1">
        <f>포괄손익계산서!C63/1000000</f>
        <v>52199.377897999999</v>
      </c>
    </row>
    <row r="25" spans="1:9" x14ac:dyDescent="0.6">
      <c r="A25" s="2"/>
      <c r="B25" s="2" t="s">
        <v>65</v>
      </c>
      <c r="C25" s="2"/>
      <c r="D25" s="2" t="s">
        <v>22</v>
      </c>
      <c r="E25">
        <f t="shared" si="1"/>
        <v>24</v>
      </c>
      <c r="F25" t="s">
        <v>21</v>
      </c>
      <c r="G25" t="s">
        <v>66</v>
      </c>
      <c r="H25" s="1">
        <f>H23-H24</f>
        <v>200249.55247600001</v>
      </c>
      <c r="I25" t="b">
        <f>ROUND(H25,0)=ROUND(포괄손익계산서!C64/1000000,0)</f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E61"/>
  <sheetViews>
    <sheetView topLeftCell="A11" zoomScale="55" zoomScaleNormal="55" workbookViewId="0">
      <selection activeCell="C26" sqref="C26"/>
    </sheetView>
  </sheetViews>
  <sheetFormatPr defaultRowHeight="16.899999999999999" x14ac:dyDescent="0.6"/>
  <sheetData>
    <row r="1" spans="1:5" x14ac:dyDescent="0.6">
      <c r="A1" s="13" t="s">
        <v>64</v>
      </c>
    </row>
    <row r="2" spans="1:5" ht="21.4" x14ac:dyDescent="0.6">
      <c r="A2" s="13" t="s">
        <v>35</v>
      </c>
    </row>
    <row r="3" spans="1:5" x14ac:dyDescent="0.6">
      <c r="A3" s="26" t="s">
        <v>23</v>
      </c>
      <c r="B3" s="27"/>
      <c r="C3" s="27"/>
      <c r="D3" s="27"/>
      <c r="E3" s="28"/>
    </row>
    <row r="4" spans="1:5" ht="27" customHeight="1" x14ac:dyDescent="0.6">
      <c r="A4" s="29" t="s">
        <v>36</v>
      </c>
      <c r="B4" s="31" t="s">
        <v>37</v>
      </c>
      <c r="C4" s="32"/>
      <c r="D4" s="31" t="s">
        <v>38</v>
      </c>
      <c r="E4" s="33"/>
    </row>
    <row r="5" spans="1:5" x14ac:dyDescent="0.6">
      <c r="A5" s="30"/>
      <c r="B5" s="14" t="s">
        <v>39</v>
      </c>
      <c r="C5" s="14" t="s">
        <v>40</v>
      </c>
      <c r="D5" s="14" t="s">
        <v>39</v>
      </c>
      <c r="E5" s="17" t="s">
        <v>40</v>
      </c>
    </row>
    <row r="6" spans="1:5" x14ac:dyDescent="0.6">
      <c r="A6" s="34" t="s">
        <v>41</v>
      </c>
      <c r="B6" s="35"/>
      <c r="C6" s="35"/>
      <c r="D6" s="35"/>
      <c r="E6" s="36"/>
    </row>
    <row r="7" spans="1:5" x14ac:dyDescent="0.6">
      <c r="A7" s="34" t="s">
        <v>42</v>
      </c>
      <c r="B7" s="35"/>
      <c r="C7" s="35"/>
      <c r="D7" s="35"/>
      <c r="E7" s="36"/>
    </row>
    <row r="8" spans="1:5" ht="25.5" x14ac:dyDescent="0.6">
      <c r="A8" s="18" t="s">
        <v>43</v>
      </c>
      <c r="B8" s="15">
        <v>129012</v>
      </c>
      <c r="C8" s="15">
        <v>255376</v>
      </c>
      <c r="D8" s="15">
        <v>119943</v>
      </c>
      <c r="E8" s="19">
        <v>237018</v>
      </c>
    </row>
    <row r="9" spans="1:5" ht="38.25" x14ac:dyDescent="0.6">
      <c r="A9" s="18" t="s">
        <v>44</v>
      </c>
      <c r="B9" s="15">
        <v>44118</v>
      </c>
      <c r="C9" s="15">
        <v>88416</v>
      </c>
      <c r="D9" s="15">
        <v>43996</v>
      </c>
      <c r="E9" s="19">
        <v>87434</v>
      </c>
    </row>
    <row r="10" spans="1:5" ht="25.5" x14ac:dyDescent="0.6">
      <c r="A10" s="18" t="s">
        <v>45</v>
      </c>
      <c r="B10" s="15">
        <v>11156</v>
      </c>
      <c r="C10" s="15">
        <v>22438</v>
      </c>
      <c r="D10" s="15">
        <v>12396</v>
      </c>
      <c r="E10" s="19">
        <v>24949</v>
      </c>
    </row>
    <row r="11" spans="1:5" ht="51" x14ac:dyDescent="0.6">
      <c r="A11" s="18" t="s">
        <v>46</v>
      </c>
      <c r="B11" s="15">
        <v>62557</v>
      </c>
      <c r="C11" s="15">
        <v>127412</v>
      </c>
      <c r="D11" s="15">
        <v>54568</v>
      </c>
      <c r="E11" s="19">
        <v>106764</v>
      </c>
    </row>
    <row r="12" spans="1:5" ht="38.25" x14ac:dyDescent="0.6">
      <c r="A12" s="18" t="s">
        <v>47</v>
      </c>
      <c r="B12" s="15">
        <v>27572</v>
      </c>
      <c r="C12" s="15">
        <v>56319</v>
      </c>
      <c r="D12" s="15">
        <v>21281</v>
      </c>
      <c r="E12" s="19">
        <v>41576</v>
      </c>
    </row>
    <row r="13" spans="1:5" ht="25.5" x14ac:dyDescent="0.6">
      <c r="A13" s="18" t="s">
        <v>48</v>
      </c>
      <c r="B13" s="15">
        <v>-2963</v>
      </c>
      <c r="C13" s="15">
        <v>-5895</v>
      </c>
      <c r="D13" s="15">
        <v>-1116</v>
      </c>
      <c r="E13" s="19">
        <v>-2331</v>
      </c>
    </row>
    <row r="14" spans="1:5" ht="25.5" x14ac:dyDescent="0.6">
      <c r="A14" s="20" t="s">
        <v>49</v>
      </c>
      <c r="B14" s="15">
        <v>271452</v>
      </c>
      <c r="C14" s="15">
        <v>544066</v>
      </c>
      <c r="D14" s="15">
        <v>251068</v>
      </c>
      <c r="E14" s="19">
        <v>495410</v>
      </c>
    </row>
    <row r="15" spans="1:5" x14ac:dyDescent="0.6">
      <c r="A15" s="37" t="s">
        <v>50</v>
      </c>
      <c r="B15" s="38"/>
      <c r="C15" s="38"/>
      <c r="D15" s="38"/>
      <c r="E15" s="39"/>
    </row>
    <row r="16" spans="1:5" ht="25.5" x14ac:dyDescent="0.6">
      <c r="A16" s="18" t="s">
        <v>51</v>
      </c>
      <c r="B16" s="15">
        <v>121450</v>
      </c>
      <c r="C16" s="15">
        <v>250993</v>
      </c>
      <c r="D16" s="15">
        <v>117965</v>
      </c>
      <c r="E16" s="19">
        <v>233742</v>
      </c>
    </row>
    <row r="17" spans="1:5" ht="38.25" x14ac:dyDescent="0.6">
      <c r="A17" s="18" t="s">
        <v>52</v>
      </c>
      <c r="B17" s="15">
        <v>44088</v>
      </c>
      <c r="C17" s="15">
        <v>86982</v>
      </c>
      <c r="D17" s="15">
        <v>40403</v>
      </c>
      <c r="E17" s="19">
        <v>78988</v>
      </c>
    </row>
    <row r="18" spans="1:5" ht="38.25" x14ac:dyDescent="0.6">
      <c r="A18" s="18" t="s">
        <v>53</v>
      </c>
      <c r="B18" s="15">
        <v>18925</v>
      </c>
      <c r="C18" s="15">
        <v>23999</v>
      </c>
      <c r="D18" s="15">
        <v>-2455</v>
      </c>
      <c r="E18" s="19">
        <v>-3588</v>
      </c>
    </row>
    <row r="19" spans="1:5" ht="38.25" x14ac:dyDescent="0.6">
      <c r="A19" s="18" t="s">
        <v>54</v>
      </c>
      <c r="B19" s="15">
        <v>2188</v>
      </c>
      <c r="C19" s="15">
        <v>3454</v>
      </c>
      <c r="D19" s="15">
        <v>2142</v>
      </c>
      <c r="E19" s="19">
        <v>1487</v>
      </c>
    </row>
    <row r="20" spans="1:5" ht="38.25" x14ac:dyDescent="0.6">
      <c r="A20" s="18" t="s">
        <v>55</v>
      </c>
      <c r="B20" s="15">
        <v>27572</v>
      </c>
      <c r="C20" s="15">
        <v>56319</v>
      </c>
      <c r="D20" s="15">
        <v>21281</v>
      </c>
      <c r="E20" s="19">
        <v>41576</v>
      </c>
    </row>
    <row r="21" spans="1:5" ht="25.5" x14ac:dyDescent="0.6">
      <c r="A21" s="21" t="s">
        <v>48</v>
      </c>
      <c r="B21" s="15">
        <v>-2963</v>
      </c>
      <c r="C21" s="15">
        <v>-5895</v>
      </c>
      <c r="D21" s="15">
        <v>-1116</v>
      </c>
      <c r="E21" s="19">
        <v>-2331</v>
      </c>
    </row>
    <row r="22" spans="1:5" ht="25.5" x14ac:dyDescent="0.6">
      <c r="A22" s="18" t="s">
        <v>56</v>
      </c>
      <c r="B22" s="15">
        <v>-2180</v>
      </c>
      <c r="C22" s="15">
        <v>-1821</v>
      </c>
      <c r="D22" s="16">
        <v>166</v>
      </c>
      <c r="E22" s="22">
        <v>656</v>
      </c>
    </row>
    <row r="23" spans="1:5" ht="25.5" x14ac:dyDescent="0.6">
      <c r="A23" s="20" t="s">
        <v>57</v>
      </c>
      <c r="B23" s="15">
        <v>209080</v>
      </c>
      <c r="C23" s="15">
        <v>414031</v>
      </c>
      <c r="D23" s="15">
        <v>178386</v>
      </c>
      <c r="E23" s="19">
        <v>350530</v>
      </c>
    </row>
    <row r="24" spans="1:5" ht="27" customHeight="1" x14ac:dyDescent="0.6">
      <c r="A24" s="20" t="s">
        <v>58</v>
      </c>
      <c r="B24" s="15">
        <v>62372</v>
      </c>
      <c r="C24" s="15">
        <v>130035</v>
      </c>
      <c r="D24" s="15">
        <v>72682</v>
      </c>
      <c r="E24" s="19">
        <v>144880</v>
      </c>
    </row>
    <row r="25" spans="1:5" ht="25.5" x14ac:dyDescent="0.6">
      <c r="A25" s="18" t="s">
        <v>59</v>
      </c>
      <c r="B25" s="15">
        <v>4415</v>
      </c>
      <c r="C25" s="15">
        <v>11979</v>
      </c>
      <c r="D25" s="15">
        <v>4958</v>
      </c>
      <c r="E25" s="19">
        <v>9212</v>
      </c>
    </row>
    <row r="26" spans="1:5" ht="25.5" x14ac:dyDescent="0.6">
      <c r="A26" s="18" t="s">
        <v>60</v>
      </c>
      <c r="B26" s="15">
        <v>5416</v>
      </c>
      <c r="C26" s="15">
        <v>13246</v>
      </c>
      <c r="D26" s="15">
        <v>5330</v>
      </c>
      <c r="E26" s="19">
        <v>8522</v>
      </c>
    </row>
    <row r="27" spans="1:5" ht="38.25" x14ac:dyDescent="0.6">
      <c r="A27" s="20" t="s">
        <v>61</v>
      </c>
      <c r="B27" s="15">
        <v>-1001</v>
      </c>
      <c r="C27" s="15">
        <v>-1267</v>
      </c>
      <c r="D27" s="16">
        <v>-372</v>
      </c>
      <c r="E27" s="22">
        <v>690</v>
      </c>
    </row>
    <row r="28" spans="1:5" ht="25.5" x14ac:dyDescent="0.6">
      <c r="A28" s="18" t="s">
        <v>62</v>
      </c>
      <c r="B28" s="15">
        <v>6233</v>
      </c>
      <c r="C28" s="15">
        <v>12560</v>
      </c>
      <c r="D28" s="15">
        <v>6406</v>
      </c>
      <c r="E28" s="19">
        <v>12222</v>
      </c>
    </row>
    <row r="29" spans="1:5" ht="25.5" x14ac:dyDescent="0.6">
      <c r="A29" s="23" t="s">
        <v>63</v>
      </c>
      <c r="B29" s="24">
        <v>55138</v>
      </c>
      <c r="C29" s="24">
        <v>116208</v>
      </c>
      <c r="D29" s="24">
        <v>65904</v>
      </c>
      <c r="E29" s="25">
        <v>133348</v>
      </c>
    </row>
    <row r="61" ht="27" customHeight="1" x14ac:dyDescent="0.6"/>
  </sheetData>
  <mergeCells count="7">
    <mergeCell ref="A7:E7"/>
    <mergeCell ref="A15:E15"/>
    <mergeCell ref="A3:E3"/>
    <mergeCell ref="A4:A5"/>
    <mergeCell ref="B4:C4"/>
    <mergeCell ref="D4:E4"/>
    <mergeCell ref="A6:E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EEC7-CE9B-417C-8843-1A1AB8BC1846}">
  <dimension ref="A1:F77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7" sqref="C7"/>
    </sheetView>
  </sheetViews>
  <sheetFormatPr defaultRowHeight="16.899999999999999" x14ac:dyDescent="0.6"/>
  <cols>
    <col min="1" max="1" width="52.1875" bestFit="1" customWidth="1"/>
    <col min="2" max="2" width="10.9375" bestFit="1" customWidth="1"/>
    <col min="3" max="4" width="17.875" bestFit="1" customWidth="1"/>
    <col min="6" max="6" width="13.4375" bestFit="1" customWidth="1"/>
  </cols>
  <sheetData>
    <row r="1" spans="1:6" x14ac:dyDescent="0.6">
      <c r="A1" s="40" t="s">
        <v>67</v>
      </c>
    </row>
    <row r="2" spans="1:6" ht="21.4" x14ac:dyDescent="0.6">
      <c r="A2" s="41" t="s">
        <v>68</v>
      </c>
    </row>
    <row r="3" spans="1:6" ht="67.5" x14ac:dyDescent="0.6">
      <c r="A3" s="42" t="s">
        <v>69</v>
      </c>
    </row>
    <row r="4" spans="1:6" ht="67.5" x14ac:dyDescent="0.6">
      <c r="A4" s="42" t="s">
        <v>70</v>
      </c>
    </row>
    <row r="5" spans="1:6" x14ac:dyDescent="0.3">
      <c r="A5" s="43" t="s">
        <v>71</v>
      </c>
    </row>
    <row r="6" spans="1:6" ht="27" x14ac:dyDescent="0.6">
      <c r="A6" s="5" t="s">
        <v>72</v>
      </c>
      <c r="B6" s="6" t="s">
        <v>73</v>
      </c>
      <c r="C6" s="6" t="s">
        <v>74</v>
      </c>
      <c r="D6" s="7" t="s">
        <v>75</v>
      </c>
    </row>
    <row r="7" spans="1:6" x14ac:dyDescent="0.6">
      <c r="A7" s="48" t="s">
        <v>76</v>
      </c>
      <c r="B7" s="44"/>
      <c r="C7" s="4">
        <v>116208234746</v>
      </c>
      <c r="D7" s="9">
        <v>133346919160</v>
      </c>
    </row>
    <row r="8" spans="1:6" x14ac:dyDescent="0.6">
      <c r="A8" s="48" t="s">
        <v>77</v>
      </c>
      <c r="B8" s="44" t="s">
        <v>78</v>
      </c>
      <c r="C8" s="4">
        <v>130035128123</v>
      </c>
      <c r="D8" s="9">
        <v>144879481128</v>
      </c>
    </row>
    <row r="9" spans="1:6" x14ac:dyDescent="0.6">
      <c r="A9" s="48" t="s">
        <v>79</v>
      </c>
      <c r="B9" s="44"/>
      <c r="C9" s="11">
        <v>544066551254</v>
      </c>
      <c r="D9" s="9">
        <v>495409620272</v>
      </c>
    </row>
    <row r="10" spans="1:6" x14ac:dyDescent="0.6">
      <c r="A10" s="48" t="s">
        <v>80</v>
      </c>
      <c r="B10" s="44"/>
      <c r="C10" s="4">
        <v>255375928728</v>
      </c>
      <c r="D10" s="9">
        <v>237017725950</v>
      </c>
      <c r="F10" s="1">
        <f>SUM(C10:C11)-SUM(C17:C18)</f>
        <v>5816358822</v>
      </c>
    </row>
    <row r="11" spans="1:6" x14ac:dyDescent="0.6">
      <c r="A11" s="48" t="s">
        <v>81</v>
      </c>
      <c r="B11" s="44"/>
      <c r="C11" s="4">
        <v>88415907777</v>
      </c>
      <c r="D11" s="9">
        <v>87433693992</v>
      </c>
    </row>
    <row r="12" spans="1:6" s="12" customFormat="1" x14ac:dyDescent="0.6">
      <c r="A12" s="48" t="s">
        <v>82</v>
      </c>
      <c r="B12" s="44"/>
      <c r="C12" s="4">
        <v>22438336230</v>
      </c>
      <c r="D12" s="9">
        <v>24948573679</v>
      </c>
    </row>
    <row r="13" spans="1:6" x14ac:dyDescent="0.6">
      <c r="A13" s="48" t="s">
        <v>83</v>
      </c>
      <c r="B13" s="44"/>
      <c r="C13" s="4">
        <v>127412368343</v>
      </c>
      <c r="D13" s="9">
        <v>106764371980</v>
      </c>
    </row>
    <row r="14" spans="1:6" x14ac:dyDescent="0.6">
      <c r="A14" s="48" t="s">
        <v>84</v>
      </c>
      <c r="B14" s="44"/>
      <c r="C14" s="4">
        <v>56318593298</v>
      </c>
      <c r="D14" s="9">
        <v>41576393351</v>
      </c>
    </row>
    <row r="15" spans="1:6" x14ac:dyDescent="0.6">
      <c r="A15" s="48" t="s">
        <v>85</v>
      </c>
      <c r="B15" s="44"/>
      <c r="C15" s="4">
        <v>-5894583122</v>
      </c>
      <c r="D15" s="9">
        <v>-2331138680</v>
      </c>
    </row>
    <row r="16" spans="1:6" x14ac:dyDescent="0.6">
      <c r="A16" s="48" t="s">
        <v>86</v>
      </c>
      <c r="B16" s="44"/>
      <c r="C16" s="11">
        <v>414031423131</v>
      </c>
      <c r="D16" s="9">
        <v>350530139144</v>
      </c>
    </row>
    <row r="17" spans="1:4" x14ac:dyDescent="0.6">
      <c r="A17" s="48" t="s">
        <v>87</v>
      </c>
      <c r="B17" s="44"/>
      <c r="C17" s="4">
        <v>250993381654</v>
      </c>
      <c r="D17" s="9">
        <v>233741810676</v>
      </c>
    </row>
    <row r="18" spans="1:4" x14ac:dyDescent="0.6">
      <c r="A18" s="48" t="s">
        <v>88</v>
      </c>
      <c r="B18" s="44"/>
      <c r="C18" s="4">
        <v>86982096029</v>
      </c>
      <c r="D18" s="9">
        <v>78988225703</v>
      </c>
    </row>
    <row r="19" spans="1:4" x14ac:dyDescent="0.6">
      <c r="A19" s="48" t="s">
        <v>89</v>
      </c>
      <c r="B19" s="44"/>
      <c r="C19" s="4">
        <v>23999238371</v>
      </c>
      <c r="D19" s="9">
        <v>-3588103504</v>
      </c>
    </row>
    <row r="20" spans="1:4" x14ac:dyDescent="0.6">
      <c r="A20" s="48" t="s">
        <v>90</v>
      </c>
      <c r="B20" s="44"/>
      <c r="C20" s="4">
        <v>3453969847</v>
      </c>
      <c r="D20" s="9">
        <v>1486663860</v>
      </c>
    </row>
    <row r="21" spans="1:4" x14ac:dyDescent="0.6">
      <c r="A21" s="48" t="s">
        <v>91</v>
      </c>
      <c r="B21" s="44"/>
      <c r="C21" s="4">
        <v>56318593298</v>
      </c>
      <c r="D21" s="9">
        <v>41576393351</v>
      </c>
    </row>
    <row r="22" spans="1:4" x14ac:dyDescent="0.6">
      <c r="A22" s="48" t="s">
        <v>85</v>
      </c>
      <c r="B22" s="44"/>
      <c r="C22" s="4">
        <v>-5894583122</v>
      </c>
      <c r="D22" s="9">
        <v>-2331138680</v>
      </c>
    </row>
    <row r="23" spans="1:4" x14ac:dyDescent="0.6">
      <c r="A23" s="48" t="s">
        <v>92</v>
      </c>
      <c r="B23" s="44"/>
      <c r="C23" s="4">
        <v>-1821272946</v>
      </c>
      <c r="D23" s="9">
        <v>656287738</v>
      </c>
    </row>
    <row r="24" spans="1:4" x14ac:dyDescent="0.6">
      <c r="A24" s="48" t="s">
        <v>93</v>
      </c>
      <c r="B24" s="44" t="s">
        <v>78</v>
      </c>
      <c r="C24" s="4">
        <v>-1266504931</v>
      </c>
      <c r="D24" s="9">
        <v>689271091</v>
      </c>
    </row>
    <row r="25" spans="1:4" x14ac:dyDescent="0.6">
      <c r="A25" s="48" t="s">
        <v>94</v>
      </c>
      <c r="B25" s="44"/>
      <c r="C25" s="4">
        <v>11979347570</v>
      </c>
      <c r="D25" s="9">
        <v>9211767412</v>
      </c>
    </row>
    <row r="26" spans="1:4" s="12" customFormat="1" x14ac:dyDescent="0.6">
      <c r="A26" s="48" t="s">
        <v>95</v>
      </c>
      <c r="B26" s="44"/>
      <c r="C26" s="4">
        <v>13245852501</v>
      </c>
      <c r="D26" s="9">
        <v>8522496321</v>
      </c>
    </row>
    <row r="27" spans="1:4" x14ac:dyDescent="0.6">
      <c r="A27" s="48" t="s">
        <v>96</v>
      </c>
      <c r="B27" s="44" t="s">
        <v>78</v>
      </c>
      <c r="C27" s="4">
        <v>12560388446</v>
      </c>
      <c r="D27" s="9">
        <v>12221833059</v>
      </c>
    </row>
    <row r="28" spans="1:4" x14ac:dyDescent="0.6">
      <c r="A28" s="48" t="s">
        <v>97</v>
      </c>
      <c r="B28" s="44"/>
      <c r="C28" s="4">
        <v>699587163908</v>
      </c>
      <c r="D28" s="9">
        <v>303552442503</v>
      </c>
    </row>
    <row r="29" spans="1:4" ht="27" x14ac:dyDescent="0.6">
      <c r="A29" s="48" t="s">
        <v>98</v>
      </c>
      <c r="B29" s="44" t="s">
        <v>99</v>
      </c>
      <c r="C29" s="4">
        <v>1208422748699</v>
      </c>
      <c r="D29" s="9">
        <v>1144410184114</v>
      </c>
    </row>
    <row r="30" spans="1:4" x14ac:dyDescent="0.6">
      <c r="A30" s="48" t="s">
        <v>100</v>
      </c>
      <c r="B30" s="44"/>
      <c r="C30" s="4">
        <v>446169266643</v>
      </c>
      <c r="D30" s="9">
        <v>418502265842</v>
      </c>
    </row>
    <row r="31" spans="1:4" x14ac:dyDescent="0.6">
      <c r="A31" s="48" t="s">
        <v>101</v>
      </c>
      <c r="B31" s="44"/>
      <c r="C31" s="4">
        <v>520328481</v>
      </c>
      <c r="D31" s="9">
        <v>62496804181</v>
      </c>
    </row>
    <row r="32" spans="1:4" x14ac:dyDescent="0.6">
      <c r="A32" s="48" t="s">
        <v>102</v>
      </c>
      <c r="B32" s="44"/>
      <c r="C32" s="4">
        <v>351668121224</v>
      </c>
      <c r="D32" s="10">
        <v>0</v>
      </c>
    </row>
    <row r="33" spans="1:4" x14ac:dyDescent="0.6">
      <c r="A33" s="48" t="s">
        <v>103</v>
      </c>
      <c r="B33" s="44"/>
      <c r="C33" s="8">
        <v>0</v>
      </c>
      <c r="D33" s="9">
        <v>47721696265</v>
      </c>
    </row>
    <row r="34" spans="1:4" x14ac:dyDescent="0.6">
      <c r="A34" s="48" t="s">
        <v>104</v>
      </c>
      <c r="B34" s="44"/>
      <c r="C34" s="4">
        <v>1572626244</v>
      </c>
      <c r="D34" s="10">
        <v>0</v>
      </c>
    </row>
    <row r="35" spans="1:4" x14ac:dyDescent="0.6">
      <c r="A35" s="48" t="s">
        <v>105</v>
      </c>
      <c r="B35" s="44"/>
      <c r="C35" s="8">
        <v>0</v>
      </c>
      <c r="D35" s="9">
        <v>46480735403</v>
      </c>
    </row>
    <row r="36" spans="1:4" x14ac:dyDescent="0.6">
      <c r="A36" s="48" t="s">
        <v>106</v>
      </c>
      <c r="B36" s="44"/>
      <c r="C36" s="4">
        <v>22412403</v>
      </c>
      <c r="D36" s="10">
        <v>0</v>
      </c>
    </row>
    <row r="37" spans="1:4" x14ac:dyDescent="0.6">
      <c r="A37" s="48" t="s">
        <v>107</v>
      </c>
      <c r="B37" s="44"/>
      <c r="C37" s="8">
        <v>0</v>
      </c>
      <c r="D37" s="10">
        <v>0</v>
      </c>
    </row>
    <row r="38" spans="1:4" x14ac:dyDescent="0.6">
      <c r="A38" s="48" t="s">
        <v>108</v>
      </c>
      <c r="B38" s="44"/>
      <c r="C38" s="8">
        <v>0</v>
      </c>
      <c r="D38" s="9">
        <v>180461318</v>
      </c>
    </row>
    <row r="39" spans="1:4" x14ac:dyDescent="0.6">
      <c r="A39" s="48" t="s">
        <v>109</v>
      </c>
      <c r="B39" s="44">
        <v>13</v>
      </c>
      <c r="C39" s="4">
        <v>252552550977</v>
      </c>
      <c r="D39" s="9">
        <v>526128595344</v>
      </c>
    </row>
    <row r="40" spans="1:4" x14ac:dyDescent="0.6">
      <c r="A40" s="48" t="s">
        <v>110</v>
      </c>
      <c r="B40" s="44"/>
      <c r="C40" s="4">
        <v>85995617960</v>
      </c>
      <c r="D40" s="9">
        <v>13729200772</v>
      </c>
    </row>
    <row r="41" spans="1:4" x14ac:dyDescent="0.6">
      <c r="A41" s="48" t="s">
        <v>111</v>
      </c>
      <c r="B41" s="44"/>
      <c r="C41" s="4">
        <v>2978219692</v>
      </c>
      <c r="D41" s="9">
        <v>5349053369</v>
      </c>
    </row>
    <row r="42" spans="1:4" x14ac:dyDescent="0.6">
      <c r="A42" s="48" t="s">
        <v>112</v>
      </c>
      <c r="B42" s="44"/>
      <c r="C42" s="4">
        <v>66943605075</v>
      </c>
      <c r="D42" s="9">
        <v>23821371620</v>
      </c>
    </row>
    <row r="43" spans="1:4" s="12" customFormat="1" ht="27" x14ac:dyDescent="0.6">
      <c r="A43" s="48" t="s">
        <v>113</v>
      </c>
      <c r="B43" s="44" t="s">
        <v>114</v>
      </c>
      <c r="C43" s="4">
        <v>508835584791</v>
      </c>
      <c r="D43" s="9">
        <v>840857741611</v>
      </c>
    </row>
    <row r="44" spans="1:4" x14ac:dyDescent="0.6">
      <c r="A44" s="48" t="s">
        <v>115</v>
      </c>
      <c r="B44" s="44"/>
      <c r="C44" s="4">
        <v>64659250083</v>
      </c>
      <c r="D44" s="9">
        <v>33352316942</v>
      </c>
    </row>
    <row r="45" spans="1:4" x14ac:dyDescent="0.6">
      <c r="A45" s="48" t="s">
        <v>116</v>
      </c>
      <c r="B45" s="44"/>
      <c r="C45" s="4">
        <v>104928343034</v>
      </c>
      <c r="D45" s="10">
        <v>0</v>
      </c>
    </row>
    <row r="46" spans="1:4" x14ac:dyDescent="0.6">
      <c r="A46" s="48" t="s">
        <v>117</v>
      </c>
      <c r="B46" s="44"/>
      <c r="C46" s="8">
        <v>0</v>
      </c>
      <c r="D46" s="9">
        <v>300589484930</v>
      </c>
    </row>
    <row r="47" spans="1:4" x14ac:dyDescent="0.6">
      <c r="A47" s="48" t="s">
        <v>118</v>
      </c>
      <c r="B47" s="44"/>
      <c r="C47" s="4">
        <v>758086182</v>
      </c>
      <c r="D47" s="10">
        <v>0</v>
      </c>
    </row>
    <row r="48" spans="1:4" x14ac:dyDescent="0.6">
      <c r="A48" s="48" t="s">
        <v>119</v>
      </c>
      <c r="B48" s="44"/>
      <c r="C48" s="8">
        <v>0</v>
      </c>
      <c r="D48" s="9">
        <v>56161365566</v>
      </c>
    </row>
    <row r="49" spans="1:4" x14ac:dyDescent="0.6">
      <c r="A49" s="48" t="s">
        <v>120</v>
      </c>
      <c r="B49" s="44"/>
      <c r="C49" s="4">
        <v>1664361</v>
      </c>
      <c r="D49" s="10">
        <v>0</v>
      </c>
    </row>
    <row r="50" spans="1:4" x14ac:dyDescent="0.6">
      <c r="A50" s="48" t="s">
        <v>121</v>
      </c>
      <c r="B50" s="44"/>
      <c r="C50" s="4">
        <v>1064739583</v>
      </c>
      <c r="D50" s="10">
        <v>0</v>
      </c>
    </row>
    <row r="51" spans="1:4" x14ac:dyDescent="0.6">
      <c r="A51" s="48" t="s">
        <v>122</v>
      </c>
      <c r="B51" s="44"/>
      <c r="C51" s="8">
        <v>0</v>
      </c>
      <c r="D51" s="9">
        <v>8568649034</v>
      </c>
    </row>
    <row r="52" spans="1:4" x14ac:dyDescent="0.6">
      <c r="A52" s="48" t="s">
        <v>123</v>
      </c>
      <c r="B52" s="44">
        <v>13</v>
      </c>
      <c r="C52" s="4">
        <v>36639008987</v>
      </c>
      <c r="D52" s="9">
        <v>1808067838</v>
      </c>
    </row>
    <row r="53" spans="1:4" x14ac:dyDescent="0.6">
      <c r="A53" s="48" t="s">
        <v>124</v>
      </c>
      <c r="B53" s="44"/>
      <c r="C53" s="4">
        <v>287632468137</v>
      </c>
      <c r="D53" s="9">
        <v>428518953247</v>
      </c>
    </row>
    <row r="54" spans="1:4" x14ac:dyDescent="0.6">
      <c r="A54" s="48" t="s">
        <v>125</v>
      </c>
      <c r="B54" s="44"/>
      <c r="C54" s="4">
        <v>1782463583</v>
      </c>
      <c r="D54" s="9">
        <v>1845014829</v>
      </c>
    </row>
    <row r="55" spans="1:4" x14ac:dyDescent="0.6">
      <c r="A55" s="48" t="s">
        <v>126</v>
      </c>
      <c r="B55" s="44"/>
      <c r="C55" s="4">
        <v>11369560841</v>
      </c>
      <c r="D55" s="9">
        <v>10013889225</v>
      </c>
    </row>
    <row r="56" spans="1:4" x14ac:dyDescent="0.6">
      <c r="A56" s="48" t="s">
        <v>127</v>
      </c>
      <c r="B56" s="44"/>
      <c r="C56" s="4">
        <v>-566418081010</v>
      </c>
      <c r="D56" s="9">
        <v>-289912770583</v>
      </c>
    </row>
    <row r="57" spans="1:4" x14ac:dyDescent="0.6">
      <c r="A57" s="48" t="s">
        <v>128</v>
      </c>
      <c r="B57" s="44">
        <v>23</v>
      </c>
      <c r="C57" s="4">
        <v>-566786820522</v>
      </c>
      <c r="D57" s="9">
        <v>-290450586653</v>
      </c>
    </row>
    <row r="58" spans="1:4" x14ac:dyDescent="0.6">
      <c r="A58" s="48" t="s">
        <v>129</v>
      </c>
      <c r="B58" s="44">
        <v>23</v>
      </c>
      <c r="C58" s="4">
        <v>368739512</v>
      </c>
      <c r="D58" s="9">
        <v>537816070</v>
      </c>
    </row>
    <row r="59" spans="1:4" x14ac:dyDescent="0.6">
      <c r="A59" s="48" t="s">
        <v>130</v>
      </c>
      <c r="B59" s="44"/>
      <c r="C59" s="4">
        <v>249377317644</v>
      </c>
      <c r="D59" s="9">
        <v>146986591080</v>
      </c>
    </row>
    <row r="60" spans="1:4" x14ac:dyDescent="0.6">
      <c r="A60" s="48" t="s">
        <v>131</v>
      </c>
      <c r="B60" s="44">
        <v>28</v>
      </c>
      <c r="C60" s="4">
        <v>4340451499</v>
      </c>
      <c r="D60" s="9">
        <v>1481580768</v>
      </c>
    </row>
    <row r="61" spans="1:4" x14ac:dyDescent="0.6">
      <c r="A61" s="48" t="s">
        <v>132</v>
      </c>
      <c r="B61" s="44">
        <v>28</v>
      </c>
      <c r="C61" s="4">
        <v>1268604023</v>
      </c>
      <c r="D61" s="9">
        <v>26727013502</v>
      </c>
    </row>
    <row r="62" spans="1:4" x14ac:dyDescent="0.6">
      <c r="A62" s="48" t="s">
        <v>133</v>
      </c>
      <c r="B62" s="44"/>
      <c r="C62" s="4">
        <v>252449165120</v>
      </c>
      <c r="D62" s="9">
        <v>121741158346</v>
      </c>
    </row>
    <row r="63" spans="1:4" x14ac:dyDescent="0.6">
      <c r="A63" s="48" t="s">
        <v>134</v>
      </c>
      <c r="B63" s="44">
        <v>29</v>
      </c>
      <c r="C63" s="4">
        <v>52199377898</v>
      </c>
      <c r="D63" s="9">
        <v>29461360320</v>
      </c>
    </row>
    <row r="64" spans="1:4" x14ac:dyDescent="0.6">
      <c r="A64" s="48" t="s">
        <v>135</v>
      </c>
      <c r="B64" s="44"/>
      <c r="C64" s="4">
        <v>200249787222</v>
      </c>
      <c r="D64" s="9">
        <v>92279798026</v>
      </c>
    </row>
    <row r="65" spans="1:4" x14ac:dyDescent="0.6">
      <c r="A65" s="48" t="s">
        <v>136</v>
      </c>
      <c r="B65" s="44">
        <v>5</v>
      </c>
      <c r="C65" s="4">
        <v>18657816742</v>
      </c>
      <c r="D65" s="9">
        <v>1352384993245</v>
      </c>
    </row>
    <row r="66" spans="1:4" x14ac:dyDescent="0.6">
      <c r="A66" s="48" t="s">
        <v>137</v>
      </c>
      <c r="B66" s="44"/>
      <c r="C66" s="4">
        <v>20017875419</v>
      </c>
      <c r="D66" s="9">
        <v>1343369572851</v>
      </c>
    </row>
    <row r="67" spans="1:4" x14ac:dyDescent="0.6">
      <c r="A67" s="48" t="s">
        <v>138</v>
      </c>
      <c r="B67" s="44"/>
      <c r="C67" s="8">
        <v>0</v>
      </c>
      <c r="D67" s="9">
        <v>-871965290879</v>
      </c>
    </row>
    <row r="68" spans="1:4" x14ac:dyDescent="0.6">
      <c r="A68" s="48" t="s">
        <v>139</v>
      </c>
      <c r="B68" s="44"/>
      <c r="C68" s="8">
        <v>0</v>
      </c>
      <c r="D68" s="9">
        <v>-2082738126</v>
      </c>
    </row>
    <row r="69" spans="1:4" x14ac:dyDescent="0.6">
      <c r="A69" s="48" t="s">
        <v>140</v>
      </c>
      <c r="B69" s="44"/>
      <c r="C69" s="4">
        <v>136537643152</v>
      </c>
      <c r="D69" s="10">
        <v>0</v>
      </c>
    </row>
    <row r="70" spans="1:4" x14ac:dyDescent="0.6">
      <c r="A70" s="48" t="s">
        <v>141</v>
      </c>
      <c r="B70" s="44"/>
      <c r="C70" s="4">
        <v>-453232175</v>
      </c>
      <c r="D70" s="9">
        <v>-12677279679</v>
      </c>
    </row>
    <row r="71" spans="1:4" x14ac:dyDescent="0.6">
      <c r="A71" s="48" t="s">
        <v>142</v>
      </c>
      <c r="B71" s="44"/>
      <c r="C71" s="4">
        <v>-116066535558</v>
      </c>
      <c r="D71" s="9">
        <v>2230094881535</v>
      </c>
    </row>
    <row r="72" spans="1:4" x14ac:dyDescent="0.6">
      <c r="A72" s="48" t="s">
        <v>143</v>
      </c>
      <c r="B72" s="44"/>
      <c r="C72" s="4">
        <v>-1360058677</v>
      </c>
      <c r="D72" s="9">
        <v>9015420394</v>
      </c>
    </row>
    <row r="73" spans="1:4" x14ac:dyDescent="0.6">
      <c r="A73" s="48" t="s">
        <v>144</v>
      </c>
      <c r="B73" s="44"/>
      <c r="C73" s="4">
        <v>-133904240</v>
      </c>
      <c r="D73" s="10">
        <v>0</v>
      </c>
    </row>
    <row r="74" spans="1:4" x14ac:dyDescent="0.6">
      <c r="A74" s="48" t="s">
        <v>145</v>
      </c>
      <c r="B74" s="44"/>
      <c r="C74" s="4">
        <v>29777624</v>
      </c>
      <c r="D74" s="9">
        <v>9004466</v>
      </c>
    </row>
    <row r="75" spans="1:4" x14ac:dyDescent="0.6">
      <c r="A75" s="48" t="s">
        <v>146</v>
      </c>
      <c r="B75" s="44"/>
      <c r="C75" s="4">
        <v>-1255932061</v>
      </c>
      <c r="D75" s="9">
        <v>9006415928</v>
      </c>
    </row>
    <row r="76" spans="1:4" x14ac:dyDescent="0.6">
      <c r="A76" s="48" t="s">
        <v>147</v>
      </c>
      <c r="B76" s="44"/>
      <c r="C76" s="4">
        <v>218907603964</v>
      </c>
      <c r="D76" s="9">
        <v>1444664791271</v>
      </c>
    </row>
    <row r="77" spans="1:4" x14ac:dyDescent="0.6">
      <c r="A77" s="49" t="s">
        <v>148</v>
      </c>
      <c r="B77" s="45"/>
      <c r="C77" s="47">
        <v>1285</v>
      </c>
      <c r="D77" s="46">
        <v>592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Sheet2</vt:lpstr>
      <vt:lpstr>부문별</vt:lpstr>
      <vt:lpstr>포괄손익계산서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2026-06-06T14:20:32Z</dcterms:modified>
</cp:coreProperties>
</file>