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4540391E-FB3D-4973-9F12-EDE45EB331DD}" xr6:coauthVersionLast="47" xr6:coauthVersionMax="47" xr10:uidLastSave="{00000000-0000-0000-0000-000000000000}"/>
  <bookViews>
    <workbookView xWindow="-83" yWindow="0" windowWidth="10965" windowHeight="13223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2" l="1"/>
  <c r="H7" i="2"/>
  <c r="H4" i="2"/>
  <c r="H2" i="2"/>
  <c r="H3" i="2"/>
  <c r="H6" i="2"/>
</calcChain>
</file>

<file path=xl/sharedStrings.xml><?xml version="1.0" encoding="utf-8"?>
<sst xmlns="http://schemas.openxmlformats.org/spreadsheetml/2006/main" count="230" uniqueCount="59">
  <si>
    <t>구  분</t>
  </si>
  <si>
    <t>합  계</t>
  </si>
  <si>
    <t>-</t>
  </si>
  <si>
    <t>위험해제에 따른 위험조정 변동</t>
  </si>
  <si>
    <t>당기손익으로 인식한 보험계약마진 금액</t>
  </si>
  <si>
    <t>보험취득현금흐름</t>
  </si>
  <si>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</si>
  <si>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</si>
  <si>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</si>
  <si>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</si>
  <si>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</si>
  <si>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</si>
  <si>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</si>
  <si>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</si>
  <si>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손해보험</t>
  </si>
  <si>
    <t>2025.4Q</t>
    <phoneticPr fontId="2" type="noConversion"/>
  </si>
  <si>
    <t>KR0001</t>
  </si>
  <si>
    <t>메리츠화재해상보험</t>
  </si>
  <si>
    <t>60</t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</si>
  <si>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</si>
  <si>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</si>
  <si>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</si>
  <si>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</si>
  <si>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</si>
  <si>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(4) 원수 및 출재 측정요소별 변동내역</t>
  </si>
  <si>
    <t>1) 당기와 전기 중 원수 일반모형 보험부채 상세변동내역은 다음과 같습니다.</t>
  </si>
  <si>
    <t>1-1) 배당요소가 있는 보험계약</t>
  </si>
  <si>
    <t>&lt;당기&gt;</t>
  </si>
  <si>
    <t>(단위: 백만원)</t>
  </si>
  <si>
    <t>미래 현금흐름의</t>
  </si>
  <si>
    <t>현재가치 추정치</t>
  </si>
  <si>
    <t>비금융위험에 대한</t>
  </si>
  <si>
    <t>위험조정</t>
  </si>
  <si>
    <t>보험계약마진</t>
  </si>
  <si>
    <t>(수정소급법)</t>
  </si>
  <si>
    <t>(공정가치법)</t>
  </si>
  <si>
    <t>(그 외 보험계약)</t>
  </si>
  <si>
    <t>기초 보험계약자산</t>
  </si>
  <si>
    <t>기초 보험계약부채</t>
  </si>
  <si>
    <t>기초 순장부금액</t>
  </si>
  <si>
    <t>미래서비스관련 변동</t>
  </si>
  <si>
    <t>신계약효과</t>
  </si>
  <si>
    <t>보험계약마진을 조정하는 추정치 변동</t>
  </si>
  <si>
    <t>보험계약마진을 조정하지 않는 추정치 변동</t>
  </si>
  <si>
    <t>당기서비스관련 변동</t>
  </si>
  <si>
    <t>경험조정</t>
  </si>
  <si>
    <t>과거서비스관련 변동</t>
  </si>
  <si>
    <t>발생사고의 이행현금흐름 변동</t>
  </si>
  <si>
    <t>보험서비스결과</t>
  </si>
  <si>
    <t>순보험금융손익</t>
  </si>
  <si>
    <t>현금흐름</t>
  </si>
  <si>
    <t>수취한 보험료</t>
  </si>
  <si>
    <t>지급한 보험금 및 기타보험서비스비용</t>
  </si>
  <si>
    <t>기타항목</t>
  </si>
  <si>
    <t>기말 순장부금액</t>
  </si>
  <si>
    <t>기말 보험계약자산</t>
  </si>
  <si>
    <t>기말 보험계약부채</t>
  </si>
  <si>
    <t>1-2) 배당요소가 없는 보험계약</t>
  </si>
  <si>
    <t>가정 및 경험 조정 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</si>
</sst>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0" fillId="0" borderId="0" xfId="0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horizontal="righ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right" vertical="center" wrapText="1"/>
    </xf>
    <xf numFmtId="3" fontId="1" fillId="0" borderId="9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 wrapText="1"/>
    </xf>
    <xf numFmtId="3" fontId="1" fillId="0" borderId="11" xfId="0" applyNumberFormat="1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3" fontId="1" fillId="0" borderId="12" xfId="0" applyNumberFormat="1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J18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0" x14ac:dyDescent="0.6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/>
    </row>
    <row r="2" spans="1:10" x14ac:dyDescent="0.6">
      <c r="A2" s="2" t="s">
        <v>16</v>
      </c>
      <c r="B2" s="2" t="s">
        <v>17</v>
      </c>
      <c r="C2" s="2" t="s">
        <v>18</v>
      </c>
      <c r="D2" s="2" t="s">
        <v>14</v>
      </c>
      <c r="E2" s="2">
        <v>1</v>
      </c>
      <c r="F2" s="2" t="s">
        <v>19</v>
      </c>
      <c r="G2" s="2" t="s">
        <v>15</v>
      </c>
      <c r="H2" s="1">
        <f>SUM(부문별!D11:F11,부문별!D48:F48)</f>
        <v>11187889</v>
      </c>
      <c r="J2" s="1"/>
    </row>
    <row r="3" spans="1:10" x14ac:dyDescent="0.6">
      <c r="A3" s="2" t="s">
        <v>16</v>
      </c>
      <c r="B3" s="2" t="s">
        <v>17</v>
      </c>
      <c r="C3" s="2" t="s">
        <v>18</v>
      </c>
      <c r="D3" s="2" t="s">
        <v>14</v>
      </c>
      <c r="E3" s="2">
        <v>2</v>
      </c>
      <c r="F3" s="2" t="s">
        <v>20</v>
      </c>
      <c r="G3" s="2" t="s">
        <v>15</v>
      </c>
      <c r="H3" s="1">
        <f>SUM(부문별!D14:F14,부문별!D51:F51)</f>
        <v>1588172</v>
      </c>
      <c r="J3" s="1"/>
    </row>
    <row r="4" spans="1:10" x14ac:dyDescent="0.6">
      <c r="A4" s="2" t="s">
        <v>16</v>
      </c>
      <c r="B4" s="2" t="s">
        <v>17</v>
      </c>
      <c r="C4" s="2" t="s">
        <v>18</v>
      </c>
      <c r="D4" s="2" t="s">
        <v>14</v>
      </c>
      <c r="E4">
        <v>3</v>
      </c>
      <c r="F4" s="2" t="s">
        <v>21</v>
      </c>
      <c r="G4" t="s">
        <v>15</v>
      </c>
      <c r="H4" s="1">
        <f>SUM(부문별!D28:F28,부문별!D65:F65)</f>
        <v>361544</v>
      </c>
      <c r="J4" s="1"/>
    </row>
    <row r="5" spans="1:10" x14ac:dyDescent="0.6">
      <c r="A5" s="2" t="s">
        <v>16</v>
      </c>
      <c r="B5" s="2" t="s">
        <v>17</v>
      </c>
      <c r="C5" s="2" t="s">
        <v>18</v>
      </c>
      <c r="D5" s="2" t="s">
        <v>14</v>
      </c>
      <c r="E5" s="2">
        <v>4</v>
      </c>
      <c r="F5" s="2" t="s">
        <v>58</v>
      </c>
      <c r="G5" t="s">
        <v>15</v>
      </c>
      <c r="H5" s="1">
        <f>H7-(SUM(H2:H4)+H6)</f>
        <v>-866645</v>
      </c>
      <c r="J5" s="1"/>
    </row>
    <row r="6" spans="1:10" x14ac:dyDescent="0.6">
      <c r="A6" s="2" t="s">
        <v>16</v>
      </c>
      <c r="B6" s="2" t="s">
        <v>17</v>
      </c>
      <c r="C6" s="2" t="s">
        <v>18</v>
      </c>
      <c r="D6" s="2" t="s">
        <v>14</v>
      </c>
      <c r="E6" s="2">
        <v>5</v>
      </c>
      <c r="F6" s="2" t="s">
        <v>22</v>
      </c>
      <c r="G6" t="s">
        <v>15</v>
      </c>
      <c r="H6" s="1">
        <f>SUM(부문별!D19:F19,부문별!D56:F56)</f>
        <v>-1167264</v>
      </c>
      <c r="J6" s="1"/>
    </row>
    <row r="7" spans="1:10" x14ac:dyDescent="0.6">
      <c r="A7" s="2" t="s">
        <v>16</v>
      </c>
      <c r="B7" s="2" t="s">
        <v>17</v>
      </c>
      <c r="C7" s="2" t="s">
        <v>18</v>
      </c>
      <c r="D7" s="2" t="s">
        <v>14</v>
      </c>
      <c r="E7" s="2">
        <v>6</v>
      </c>
      <c r="F7" s="2" t="s">
        <v>23</v>
      </c>
      <c r="G7" t="s">
        <v>15</v>
      </c>
      <c r="H7" s="1">
        <f>SUM(부문별!D37:F37,부문별!D74:F74)</f>
        <v>11103696</v>
      </c>
      <c r="J7" s="1"/>
    </row>
    <row r="8" spans="1:10" x14ac:dyDescent="0.6">
      <c r="A8" s="2"/>
      <c r="B8" s="2"/>
      <c r="C8" s="2"/>
      <c r="D8" s="2"/>
      <c r="H8" s="1"/>
    </row>
    <row r="9" spans="1:10" x14ac:dyDescent="0.6">
      <c r="A9" s="2"/>
      <c r="B9" s="2"/>
      <c r="C9" s="2"/>
      <c r="D9" s="2"/>
      <c r="H9" s="1"/>
    </row>
    <row r="10" spans="1:10" x14ac:dyDescent="0.6">
      <c r="A10" s="2"/>
      <c r="B10" s="2"/>
      <c r="C10" s="2"/>
      <c r="D10" s="2"/>
      <c r="H10" s="1"/>
    </row>
    <row r="11" spans="1:10" x14ac:dyDescent="0.6">
      <c r="A11" s="2"/>
      <c r="B11" s="2"/>
      <c r="C11" s="2"/>
      <c r="D11" s="2"/>
      <c r="H11" s="1"/>
    </row>
    <row r="12" spans="1:10" x14ac:dyDescent="0.6">
      <c r="A12" s="2"/>
      <c r="B12" s="2"/>
      <c r="C12" s="2"/>
      <c r="D12" s="2"/>
      <c r="H12" s="1"/>
    </row>
    <row r="13" spans="1:10" x14ac:dyDescent="0.6">
      <c r="A13" s="2"/>
      <c r="B13" s="2"/>
      <c r="C13" s="2"/>
      <c r="D13" s="2"/>
      <c r="H13" s="1"/>
    </row>
    <row r="14" spans="1:10" x14ac:dyDescent="0.6">
      <c r="A14" s="2"/>
      <c r="B14" s="2"/>
      <c r="C14" s="2"/>
      <c r="D14" s="2"/>
      <c r="H14" s="1"/>
    </row>
    <row r="15" spans="1:10" x14ac:dyDescent="0.6">
      <c r="A15" s="2"/>
      <c r="B15" s="2"/>
      <c r="C15" s="2"/>
      <c r="D15" s="2"/>
      <c r="H15" s="1"/>
    </row>
    <row r="16" spans="1:10" x14ac:dyDescent="0.6">
      <c r="A16" s="2"/>
      <c r="B16" s="2"/>
      <c r="C16" s="2"/>
      <c r="D16" s="2"/>
      <c r="H16" s="1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I76"/>
  <sheetViews>
    <sheetView workbookViewId="0">
      <pane xSplit="1" ySplit="8" topLeftCell="F36" activePane="bottomRight" state="frozen"/>
      <selection pane="topRight" activeCell="B1" sqref="B1"/>
      <selection pane="bottomLeft" activeCell="A9" sqref="A9"/>
      <selection pane="bottomRight" activeCell="I37" sqref="I37"/>
    </sheetView>
  </sheetViews>
  <sheetFormatPr defaultRowHeight="16.899999999999999" x14ac:dyDescent="0.6"/>
  <cols>
    <col min="1" max="1" width="40.875" bestFit="1" customWidth="1"/>
    <col min="2" max="2" width="9.8125" bestFit="1" customWidth="1"/>
    <col min="3" max="3" width="8.125" bestFit="1" customWidth="1"/>
    <col min="4" max="4" width="8.1875" bestFit="1" customWidth="1"/>
    <col min="5" max="5" width="7.125" bestFit="1" customWidth="1"/>
    <col min="6" max="6" width="9.8125" bestFit="1" customWidth="1"/>
    <col min="9" max="9" width="9.75" bestFit="1" customWidth="1"/>
  </cols>
  <sheetData>
    <row r="1" spans="1:9" x14ac:dyDescent="0.6">
      <c r="A1" s="4" t="s">
        <v>24</v>
      </c>
    </row>
    <row r="2" spans="1:9" ht="31.5" x14ac:dyDescent="0.6">
      <c r="A2" s="4" t="s">
        <v>25</v>
      </c>
    </row>
    <row r="3" spans="1:9" x14ac:dyDescent="0.6">
      <c r="A3" s="3"/>
    </row>
    <row r="4" spans="1:9" x14ac:dyDescent="0.6">
      <c r="A4" s="4" t="s">
        <v>26</v>
      </c>
    </row>
    <row r="5" spans="1:9" x14ac:dyDescent="0.6">
      <c r="A5" s="4" t="s">
        <v>27</v>
      </c>
    </row>
    <row r="6" spans="1:9" x14ac:dyDescent="0.6">
      <c r="A6" s="5" t="s">
        <v>28</v>
      </c>
    </row>
    <row r="7" spans="1:9" ht="40.5" x14ac:dyDescent="0.6">
      <c r="A7" s="19" t="s">
        <v>0</v>
      </c>
      <c r="B7" s="10" t="s">
        <v>29</v>
      </c>
      <c r="C7" s="10" t="s">
        <v>31</v>
      </c>
      <c r="D7" s="10" t="s">
        <v>33</v>
      </c>
      <c r="E7" s="10" t="s">
        <v>33</v>
      </c>
      <c r="F7" s="11" t="s">
        <v>33</v>
      </c>
      <c r="G7" s="21" t="s">
        <v>1</v>
      </c>
    </row>
    <row r="8" spans="1:9" ht="27" x14ac:dyDescent="0.6">
      <c r="A8" s="20"/>
      <c r="B8" s="6" t="s">
        <v>30</v>
      </c>
      <c r="C8" s="6" t="s">
        <v>32</v>
      </c>
      <c r="D8" s="6" t="s">
        <v>34</v>
      </c>
      <c r="E8" s="6" t="s">
        <v>35</v>
      </c>
      <c r="F8" s="7" t="s">
        <v>36</v>
      </c>
      <c r="G8" s="22"/>
    </row>
    <row r="9" spans="1:9" x14ac:dyDescent="0.6">
      <c r="A9" s="12" t="s">
        <v>37</v>
      </c>
      <c r="B9" s="8" t="s">
        <v>2</v>
      </c>
      <c r="C9" s="8" t="s">
        <v>2</v>
      </c>
      <c r="D9" s="8" t="s">
        <v>2</v>
      </c>
      <c r="E9" s="8" t="s">
        <v>2</v>
      </c>
      <c r="F9" s="8" t="s">
        <v>2</v>
      </c>
      <c r="G9" s="13" t="s">
        <v>2</v>
      </c>
    </row>
    <row r="10" spans="1:9" x14ac:dyDescent="0.6">
      <c r="A10" s="12" t="s">
        <v>38</v>
      </c>
      <c r="B10" s="9">
        <v>1493844</v>
      </c>
      <c r="C10" s="9">
        <v>1421</v>
      </c>
      <c r="D10" s="8">
        <v>-1</v>
      </c>
      <c r="E10" s="9">
        <v>47090</v>
      </c>
      <c r="F10" s="8">
        <v>102</v>
      </c>
      <c r="G10" s="14">
        <v>1542456</v>
      </c>
      <c r="I10" s="1"/>
    </row>
    <row r="11" spans="1:9" x14ac:dyDescent="0.6">
      <c r="A11" s="12" t="s">
        <v>39</v>
      </c>
      <c r="B11" s="9">
        <v>1493844</v>
      </c>
      <c r="C11" s="9">
        <v>1421</v>
      </c>
      <c r="D11" s="8">
        <v>-1</v>
      </c>
      <c r="E11" s="9">
        <v>47090</v>
      </c>
      <c r="F11" s="8">
        <v>102</v>
      </c>
      <c r="G11" s="14">
        <v>1542456</v>
      </c>
    </row>
    <row r="12" spans="1:9" x14ac:dyDescent="0.6">
      <c r="A12" s="12"/>
      <c r="B12" s="8"/>
      <c r="C12" s="8"/>
      <c r="D12" s="8"/>
      <c r="E12" s="8"/>
      <c r="F12" s="8"/>
      <c r="G12" s="13"/>
    </row>
    <row r="13" spans="1:9" x14ac:dyDescent="0.6">
      <c r="A13" s="12" t="s">
        <v>40</v>
      </c>
      <c r="B13" s="9">
        <v>-4500</v>
      </c>
      <c r="C13" s="8">
        <v>-654</v>
      </c>
      <c r="D13" s="8">
        <v>1</v>
      </c>
      <c r="E13" s="9">
        <v>6324</v>
      </c>
      <c r="F13" s="8">
        <v>81</v>
      </c>
      <c r="G13" s="14">
        <v>1252</v>
      </c>
    </row>
    <row r="14" spans="1:9" x14ac:dyDescent="0.6">
      <c r="A14" s="12" t="s">
        <v>41</v>
      </c>
      <c r="B14" s="9">
        <v>1253</v>
      </c>
      <c r="C14" s="8">
        <v>31</v>
      </c>
      <c r="D14" s="8" t="s">
        <v>2</v>
      </c>
      <c r="E14" s="8" t="s">
        <v>2</v>
      </c>
      <c r="F14" s="8" t="s">
        <v>2</v>
      </c>
      <c r="G14" s="14">
        <v>1284</v>
      </c>
    </row>
    <row r="15" spans="1:9" x14ac:dyDescent="0.6">
      <c r="A15" s="12" t="s">
        <v>42</v>
      </c>
      <c r="B15" s="9">
        <v>-5728</v>
      </c>
      <c r="C15" s="8">
        <v>-677</v>
      </c>
      <c r="D15" s="8">
        <v>1</v>
      </c>
      <c r="E15" s="9">
        <v>6324</v>
      </c>
      <c r="F15" s="8">
        <v>81</v>
      </c>
      <c r="G15" s="13">
        <v>1</v>
      </c>
    </row>
    <row r="16" spans="1:9" x14ac:dyDescent="0.6">
      <c r="A16" s="12" t="s">
        <v>43</v>
      </c>
      <c r="B16" s="8">
        <v>-25</v>
      </c>
      <c r="C16" s="8">
        <v>-8</v>
      </c>
      <c r="D16" s="8" t="s">
        <v>2</v>
      </c>
      <c r="E16" s="8" t="s">
        <v>2</v>
      </c>
      <c r="F16" s="8" t="s">
        <v>2</v>
      </c>
      <c r="G16" s="13">
        <v>-33</v>
      </c>
    </row>
    <row r="17" spans="1:7" x14ac:dyDescent="0.6">
      <c r="A17" s="12"/>
      <c r="B17" s="8"/>
      <c r="C17" s="8"/>
      <c r="D17" s="8"/>
      <c r="E17" s="8"/>
      <c r="F17" s="8"/>
      <c r="G17" s="13"/>
    </row>
    <row r="18" spans="1:7" x14ac:dyDescent="0.6">
      <c r="A18" s="12" t="s">
        <v>44</v>
      </c>
      <c r="B18" s="9">
        <v>-1324</v>
      </c>
      <c r="C18" s="8">
        <v>-95</v>
      </c>
      <c r="D18" s="8" t="s">
        <v>2</v>
      </c>
      <c r="E18" s="9">
        <v>-6301</v>
      </c>
      <c r="F18" s="8">
        <v>-3</v>
      </c>
      <c r="G18" s="14">
        <v>-7723</v>
      </c>
    </row>
    <row r="19" spans="1:7" x14ac:dyDescent="0.6">
      <c r="A19" s="12" t="s">
        <v>4</v>
      </c>
      <c r="B19" s="8" t="s">
        <v>2</v>
      </c>
      <c r="C19" s="8" t="s">
        <v>2</v>
      </c>
      <c r="D19" s="8" t="s">
        <v>2</v>
      </c>
      <c r="E19" s="9">
        <v>-6301</v>
      </c>
      <c r="F19" s="8">
        <v>-3</v>
      </c>
      <c r="G19" s="14">
        <v>-6304</v>
      </c>
    </row>
    <row r="20" spans="1:7" x14ac:dyDescent="0.6">
      <c r="A20" s="12" t="s">
        <v>3</v>
      </c>
      <c r="B20" s="8" t="s">
        <v>2</v>
      </c>
      <c r="C20" s="8">
        <v>-95</v>
      </c>
      <c r="D20" s="8" t="s">
        <v>2</v>
      </c>
      <c r="E20" s="8" t="s">
        <v>2</v>
      </c>
      <c r="F20" s="8" t="s">
        <v>2</v>
      </c>
      <c r="G20" s="13">
        <v>-95</v>
      </c>
    </row>
    <row r="21" spans="1:7" x14ac:dyDescent="0.6">
      <c r="A21" s="12" t="s">
        <v>45</v>
      </c>
      <c r="B21" s="9">
        <v>-1324</v>
      </c>
      <c r="C21" s="8" t="s">
        <v>2</v>
      </c>
      <c r="D21" s="8" t="s">
        <v>2</v>
      </c>
      <c r="E21" s="8" t="s">
        <v>2</v>
      </c>
      <c r="F21" s="8" t="s">
        <v>2</v>
      </c>
      <c r="G21" s="14">
        <v>-1324</v>
      </c>
    </row>
    <row r="22" spans="1:7" x14ac:dyDescent="0.6">
      <c r="A22" s="12"/>
      <c r="B22" s="8"/>
      <c r="C22" s="8"/>
      <c r="D22" s="8"/>
      <c r="E22" s="8"/>
      <c r="F22" s="8"/>
      <c r="G22" s="13"/>
    </row>
    <row r="23" spans="1:7" x14ac:dyDescent="0.6">
      <c r="A23" s="12" t="s">
        <v>46</v>
      </c>
      <c r="B23" s="8">
        <v>-135</v>
      </c>
      <c r="C23" s="8">
        <v>-21</v>
      </c>
      <c r="D23" s="8" t="s">
        <v>2</v>
      </c>
      <c r="E23" s="8" t="s">
        <v>2</v>
      </c>
      <c r="F23" s="8" t="s">
        <v>2</v>
      </c>
      <c r="G23" s="13">
        <v>-156</v>
      </c>
    </row>
    <row r="24" spans="1:7" x14ac:dyDescent="0.6">
      <c r="A24" s="12" t="s">
        <v>47</v>
      </c>
      <c r="B24" s="8">
        <v>-135</v>
      </c>
      <c r="C24" s="8">
        <v>-21</v>
      </c>
      <c r="D24" s="8" t="s">
        <v>2</v>
      </c>
      <c r="E24" s="8" t="s">
        <v>2</v>
      </c>
      <c r="F24" s="8" t="s">
        <v>2</v>
      </c>
      <c r="G24" s="13">
        <v>-156</v>
      </c>
    </row>
    <row r="25" spans="1:7" x14ac:dyDescent="0.6">
      <c r="A25" s="12"/>
      <c r="B25" s="8"/>
      <c r="C25" s="8"/>
      <c r="D25" s="8"/>
      <c r="E25" s="8"/>
      <c r="F25" s="8"/>
      <c r="G25" s="13"/>
    </row>
    <row r="26" spans="1:7" x14ac:dyDescent="0.6">
      <c r="A26" s="12" t="s">
        <v>48</v>
      </c>
      <c r="B26" s="9">
        <v>-5959</v>
      </c>
      <c r="C26" s="8">
        <v>-770</v>
      </c>
      <c r="D26" s="8">
        <v>1</v>
      </c>
      <c r="E26" s="8">
        <v>23</v>
      </c>
      <c r="F26" s="8">
        <v>78</v>
      </c>
      <c r="G26" s="14">
        <v>-6627</v>
      </c>
    </row>
    <row r="27" spans="1:7" x14ac:dyDescent="0.6">
      <c r="A27" s="12"/>
      <c r="B27" s="8"/>
      <c r="C27" s="8"/>
      <c r="D27" s="8"/>
      <c r="E27" s="8"/>
      <c r="F27" s="8"/>
      <c r="G27" s="13"/>
    </row>
    <row r="28" spans="1:7" x14ac:dyDescent="0.6">
      <c r="A28" s="12" t="s">
        <v>49</v>
      </c>
      <c r="B28" s="9">
        <v>15007</v>
      </c>
      <c r="C28" s="8" t="s">
        <v>2</v>
      </c>
      <c r="D28" s="8" t="s">
        <v>2</v>
      </c>
      <c r="E28" s="9">
        <v>1355</v>
      </c>
      <c r="F28" s="8">
        <v>6</v>
      </c>
      <c r="G28" s="14">
        <v>16368</v>
      </c>
    </row>
    <row r="29" spans="1:7" x14ac:dyDescent="0.6">
      <c r="A29" s="12"/>
      <c r="B29" s="8"/>
      <c r="C29" s="8"/>
      <c r="D29" s="8"/>
      <c r="E29" s="8"/>
      <c r="F29" s="8"/>
      <c r="G29" s="13"/>
    </row>
    <row r="30" spans="1:7" x14ac:dyDescent="0.6">
      <c r="A30" s="12" t="s">
        <v>50</v>
      </c>
      <c r="B30" s="9">
        <v>-12472</v>
      </c>
      <c r="C30" s="8" t="s">
        <v>2</v>
      </c>
      <c r="D30" s="8" t="s">
        <v>2</v>
      </c>
      <c r="E30" s="8" t="s">
        <v>2</v>
      </c>
      <c r="F30" s="8" t="s">
        <v>2</v>
      </c>
      <c r="G30" s="14">
        <v>-12472</v>
      </c>
    </row>
    <row r="31" spans="1:7" x14ac:dyDescent="0.6">
      <c r="A31" s="12" t="s">
        <v>51</v>
      </c>
      <c r="B31" s="9">
        <v>86020</v>
      </c>
      <c r="C31" s="8" t="s">
        <v>2</v>
      </c>
      <c r="D31" s="8" t="s">
        <v>2</v>
      </c>
      <c r="E31" s="8" t="s">
        <v>2</v>
      </c>
      <c r="F31" s="8" t="s">
        <v>2</v>
      </c>
      <c r="G31" s="14">
        <v>86020</v>
      </c>
    </row>
    <row r="32" spans="1:7" x14ac:dyDescent="0.6">
      <c r="A32" s="12" t="s">
        <v>5</v>
      </c>
      <c r="B32" s="9">
        <v>-2151</v>
      </c>
      <c r="C32" s="8" t="s">
        <v>2</v>
      </c>
      <c r="D32" s="8" t="s">
        <v>2</v>
      </c>
      <c r="E32" s="8" t="s">
        <v>2</v>
      </c>
      <c r="F32" s="8" t="s">
        <v>2</v>
      </c>
      <c r="G32" s="14">
        <v>-2151</v>
      </c>
    </row>
    <row r="33" spans="1:7" x14ac:dyDescent="0.6">
      <c r="A33" s="12" t="s">
        <v>52</v>
      </c>
      <c r="B33" s="9">
        <v>-96341</v>
      </c>
      <c r="C33" s="8" t="s">
        <v>2</v>
      </c>
      <c r="D33" s="8" t="s">
        <v>2</v>
      </c>
      <c r="E33" s="8" t="s">
        <v>2</v>
      </c>
      <c r="F33" s="8" t="s">
        <v>2</v>
      </c>
      <c r="G33" s="14">
        <v>-96341</v>
      </c>
    </row>
    <row r="34" spans="1:7" x14ac:dyDescent="0.6">
      <c r="A34" s="12"/>
      <c r="B34" s="8"/>
      <c r="C34" s="8"/>
      <c r="D34" s="8"/>
      <c r="E34" s="8"/>
      <c r="F34" s="8"/>
      <c r="G34" s="13"/>
    </row>
    <row r="35" spans="1:7" x14ac:dyDescent="0.6">
      <c r="A35" s="12" t="s">
        <v>53</v>
      </c>
      <c r="B35" s="8" t="s">
        <v>2</v>
      </c>
      <c r="C35" s="8" t="s">
        <v>2</v>
      </c>
      <c r="D35" s="8" t="s">
        <v>2</v>
      </c>
      <c r="E35" s="8" t="s">
        <v>2</v>
      </c>
      <c r="F35" s="8" t="s">
        <v>2</v>
      </c>
      <c r="G35" s="13" t="s">
        <v>2</v>
      </c>
    </row>
    <row r="36" spans="1:7" x14ac:dyDescent="0.6">
      <c r="A36" s="12"/>
      <c r="B36" s="8"/>
      <c r="C36" s="8"/>
      <c r="D36" s="8"/>
      <c r="E36" s="8"/>
      <c r="F36" s="8"/>
      <c r="G36" s="13"/>
    </row>
    <row r="37" spans="1:7" x14ac:dyDescent="0.6">
      <c r="A37" s="12" t="s">
        <v>54</v>
      </c>
      <c r="B37" s="9">
        <v>1490420</v>
      </c>
      <c r="C37" s="8">
        <v>651</v>
      </c>
      <c r="D37" s="8" t="s">
        <v>2</v>
      </c>
      <c r="E37" s="9">
        <v>48468</v>
      </c>
      <c r="F37" s="8">
        <v>186</v>
      </c>
      <c r="G37" s="14">
        <v>1539725</v>
      </c>
    </row>
    <row r="38" spans="1:7" x14ac:dyDescent="0.6">
      <c r="A38" s="12" t="s">
        <v>55</v>
      </c>
      <c r="B38" s="8" t="s">
        <v>2</v>
      </c>
      <c r="C38" s="8" t="s">
        <v>2</v>
      </c>
      <c r="D38" s="8" t="s">
        <v>2</v>
      </c>
      <c r="E38" s="8" t="s">
        <v>2</v>
      </c>
      <c r="F38" s="8" t="s">
        <v>2</v>
      </c>
      <c r="G38" s="13" t="s">
        <v>2</v>
      </c>
    </row>
    <row r="39" spans="1:7" x14ac:dyDescent="0.6">
      <c r="A39" s="15" t="s">
        <v>56</v>
      </c>
      <c r="B39" s="16">
        <v>1490420</v>
      </c>
      <c r="C39" s="17">
        <v>651</v>
      </c>
      <c r="D39" s="17" t="s">
        <v>2</v>
      </c>
      <c r="E39" s="16">
        <v>48468</v>
      </c>
      <c r="F39" s="17">
        <v>186</v>
      </c>
      <c r="G39" s="18">
        <v>1539725</v>
      </c>
    </row>
    <row r="41" spans="1:7" x14ac:dyDescent="0.6">
      <c r="A41" s="4" t="s">
        <v>57</v>
      </c>
    </row>
    <row r="42" spans="1:7" x14ac:dyDescent="0.6">
      <c r="A42" s="4" t="s">
        <v>27</v>
      </c>
    </row>
    <row r="43" spans="1:7" x14ac:dyDescent="0.6">
      <c r="A43" s="5" t="s">
        <v>28</v>
      </c>
    </row>
    <row r="44" spans="1:7" ht="40.5" x14ac:dyDescent="0.6">
      <c r="A44" s="19" t="s">
        <v>0</v>
      </c>
      <c r="B44" s="10" t="s">
        <v>29</v>
      </c>
      <c r="C44" s="10" t="s">
        <v>31</v>
      </c>
      <c r="D44" s="10" t="s">
        <v>33</v>
      </c>
      <c r="E44" s="10" t="s">
        <v>33</v>
      </c>
      <c r="F44" s="11" t="s">
        <v>33</v>
      </c>
      <c r="G44" s="21" t="s">
        <v>1</v>
      </c>
    </row>
    <row r="45" spans="1:7" ht="27" x14ac:dyDescent="0.6">
      <c r="A45" s="20"/>
      <c r="B45" s="6" t="s">
        <v>30</v>
      </c>
      <c r="C45" s="6" t="s">
        <v>32</v>
      </c>
      <c r="D45" s="6" t="s">
        <v>34</v>
      </c>
      <c r="E45" s="6" t="s">
        <v>35</v>
      </c>
      <c r="F45" s="7" t="s">
        <v>36</v>
      </c>
      <c r="G45" s="22"/>
    </row>
    <row r="46" spans="1:7" x14ac:dyDescent="0.6">
      <c r="A46" s="12" t="s">
        <v>37</v>
      </c>
      <c r="B46" s="9">
        <v>77138</v>
      </c>
      <c r="C46" s="9">
        <v>-3039</v>
      </c>
      <c r="D46" s="9">
        <v>-40205</v>
      </c>
      <c r="E46" s="8" t="s">
        <v>2</v>
      </c>
      <c r="F46" s="9">
        <v>-20486</v>
      </c>
      <c r="G46" s="14">
        <v>13408</v>
      </c>
    </row>
    <row r="47" spans="1:7" x14ac:dyDescent="0.6">
      <c r="A47" s="12" t="s">
        <v>38</v>
      </c>
      <c r="B47" s="9">
        <v>8814269</v>
      </c>
      <c r="C47" s="9">
        <v>1468254</v>
      </c>
      <c r="D47" s="9">
        <v>4416894</v>
      </c>
      <c r="E47" s="9">
        <v>3661202</v>
      </c>
      <c r="F47" s="9">
        <v>3001911</v>
      </c>
      <c r="G47" s="14">
        <v>21362530</v>
      </c>
    </row>
    <row r="48" spans="1:7" x14ac:dyDescent="0.6">
      <c r="A48" s="12" t="s">
        <v>39</v>
      </c>
      <c r="B48" s="9">
        <v>8737131</v>
      </c>
      <c r="C48" s="9">
        <v>1471293</v>
      </c>
      <c r="D48" s="9">
        <v>4457099</v>
      </c>
      <c r="E48" s="9">
        <v>3661202</v>
      </c>
      <c r="F48" s="9">
        <v>3022397</v>
      </c>
      <c r="G48" s="14">
        <v>21349122</v>
      </c>
    </row>
    <row r="49" spans="1:7" x14ac:dyDescent="0.6">
      <c r="A49" s="12"/>
      <c r="B49" s="8"/>
      <c r="C49" s="8"/>
      <c r="D49" s="8"/>
      <c r="E49" s="8"/>
      <c r="F49" s="8"/>
      <c r="G49" s="13"/>
    </row>
    <row r="50" spans="1:7" x14ac:dyDescent="0.6">
      <c r="A50" s="12" t="s">
        <v>40</v>
      </c>
      <c r="B50" s="9">
        <v>-1176898</v>
      </c>
      <c r="C50" s="9">
        <v>184007</v>
      </c>
      <c r="D50" s="9">
        <v>-182370</v>
      </c>
      <c r="E50" s="9">
        <v>-190854</v>
      </c>
      <c r="F50" s="9">
        <v>1088345</v>
      </c>
      <c r="G50" s="14">
        <v>-277770</v>
      </c>
    </row>
    <row r="51" spans="1:7" x14ac:dyDescent="0.6">
      <c r="A51" s="12" t="s">
        <v>41</v>
      </c>
      <c r="B51" s="9">
        <v>-1754344</v>
      </c>
      <c r="C51" s="9">
        <v>235922</v>
      </c>
      <c r="D51" s="8" t="s">
        <v>2</v>
      </c>
      <c r="E51" s="8" t="s">
        <v>2</v>
      </c>
      <c r="F51" s="9">
        <v>1588172</v>
      </c>
      <c r="G51" s="14">
        <v>69750</v>
      </c>
    </row>
    <row r="52" spans="1:7" x14ac:dyDescent="0.6">
      <c r="A52" s="12" t="s">
        <v>42</v>
      </c>
      <c r="B52" s="9">
        <v>810588</v>
      </c>
      <c r="C52" s="9">
        <v>62463</v>
      </c>
      <c r="D52" s="9">
        <v>-182370</v>
      </c>
      <c r="E52" s="9">
        <v>-190854</v>
      </c>
      <c r="F52" s="9">
        <v>-499827</v>
      </c>
      <c r="G52" s="13" t="s">
        <v>2</v>
      </c>
    </row>
    <row r="53" spans="1:7" x14ac:dyDescent="0.6">
      <c r="A53" s="12" t="s">
        <v>43</v>
      </c>
      <c r="B53" s="9">
        <v>-233142</v>
      </c>
      <c r="C53" s="9">
        <v>-114378</v>
      </c>
      <c r="D53" s="8" t="s">
        <v>2</v>
      </c>
      <c r="E53" s="8" t="s">
        <v>2</v>
      </c>
      <c r="F53" s="8" t="s">
        <v>2</v>
      </c>
      <c r="G53" s="14">
        <v>-347520</v>
      </c>
    </row>
    <row r="54" spans="1:7" x14ac:dyDescent="0.6">
      <c r="A54" s="12"/>
      <c r="B54" s="8"/>
      <c r="C54" s="8"/>
      <c r="D54" s="8"/>
      <c r="E54" s="8"/>
      <c r="F54" s="8"/>
      <c r="G54" s="13"/>
    </row>
    <row r="55" spans="1:7" x14ac:dyDescent="0.6">
      <c r="A55" s="12" t="s">
        <v>44</v>
      </c>
      <c r="B55" s="9">
        <v>87908</v>
      </c>
      <c r="C55" s="9">
        <v>-82383</v>
      </c>
      <c r="D55" s="9">
        <v>-384009</v>
      </c>
      <c r="E55" s="9">
        <v>-338755</v>
      </c>
      <c r="F55" s="9">
        <v>-438196</v>
      </c>
      <c r="G55" s="14">
        <v>-1155435</v>
      </c>
    </row>
    <row r="56" spans="1:7" x14ac:dyDescent="0.6">
      <c r="A56" s="12" t="s">
        <v>4</v>
      </c>
      <c r="B56" s="8" t="s">
        <v>2</v>
      </c>
      <c r="C56" s="8" t="s">
        <v>2</v>
      </c>
      <c r="D56" s="9">
        <v>-384009</v>
      </c>
      <c r="E56" s="9">
        <v>-338755</v>
      </c>
      <c r="F56" s="9">
        <v>-438196</v>
      </c>
      <c r="G56" s="14">
        <v>-1160960</v>
      </c>
    </row>
    <row r="57" spans="1:7" x14ac:dyDescent="0.6">
      <c r="A57" s="12" t="s">
        <v>3</v>
      </c>
      <c r="B57" s="8" t="s">
        <v>2</v>
      </c>
      <c r="C57" s="9">
        <v>-82383</v>
      </c>
      <c r="D57" s="8" t="s">
        <v>2</v>
      </c>
      <c r="E57" s="8" t="s">
        <v>2</v>
      </c>
      <c r="F57" s="8" t="s">
        <v>2</v>
      </c>
      <c r="G57" s="14">
        <v>-82383</v>
      </c>
    </row>
    <row r="58" spans="1:7" x14ac:dyDescent="0.6">
      <c r="A58" s="12" t="s">
        <v>45</v>
      </c>
      <c r="B58" s="9">
        <v>87908</v>
      </c>
      <c r="C58" s="8" t="s">
        <v>2</v>
      </c>
      <c r="D58" s="8" t="s">
        <v>2</v>
      </c>
      <c r="E58" s="8" t="s">
        <v>2</v>
      </c>
      <c r="F58" s="8" t="s">
        <v>2</v>
      </c>
      <c r="G58" s="14">
        <v>87908</v>
      </c>
    </row>
    <row r="59" spans="1:7" x14ac:dyDescent="0.6">
      <c r="A59" s="12"/>
      <c r="B59" s="8"/>
      <c r="C59" s="8"/>
      <c r="D59" s="8"/>
      <c r="E59" s="8"/>
      <c r="F59" s="8"/>
      <c r="G59" s="13"/>
    </row>
    <row r="60" spans="1:7" x14ac:dyDescent="0.6">
      <c r="A60" s="12" t="s">
        <v>46</v>
      </c>
      <c r="B60" s="9">
        <v>-68790</v>
      </c>
      <c r="C60" s="9">
        <v>-105566</v>
      </c>
      <c r="D60" s="8" t="s">
        <v>2</v>
      </c>
      <c r="E60" s="8" t="s">
        <v>2</v>
      </c>
      <c r="F60" s="8" t="s">
        <v>2</v>
      </c>
      <c r="G60" s="14">
        <v>-174356</v>
      </c>
    </row>
    <row r="61" spans="1:7" x14ac:dyDescent="0.6">
      <c r="A61" s="12" t="s">
        <v>47</v>
      </c>
      <c r="B61" s="9">
        <v>-68790</v>
      </c>
      <c r="C61" s="9">
        <v>-105566</v>
      </c>
      <c r="D61" s="8" t="s">
        <v>2</v>
      </c>
      <c r="E61" s="8" t="s">
        <v>2</v>
      </c>
      <c r="F61" s="8" t="s">
        <v>2</v>
      </c>
      <c r="G61" s="14">
        <v>-174356</v>
      </c>
    </row>
    <row r="62" spans="1:7" x14ac:dyDescent="0.6">
      <c r="A62" s="12"/>
      <c r="B62" s="8"/>
      <c r="C62" s="8"/>
      <c r="D62" s="8"/>
      <c r="E62" s="8"/>
      <c r="F62" s="8"/>
      <c r="G62" s="13"/>
    </row>
    <row r="63" spans="1:7" x14ac:dyDescent="0.6">
      <c r="A63" s="12" t="s">
        <v>48</v>
      </c>
      <c r="B63" s="9">
        <v>-1157780</v>
      </c>
      <c r="C63" s="9">
        <v>-3942</v>
      </c>
      <c r="D63" s="9">
        <v>-566379</v>
      </c>
      <c r="E63" s="9">
        <v>-529609</v>
      </c>
      <c r="F63" s="9">
        <v>650149</v>
      </c>
      <c r="G63" s="14">
        <v>-1607561</v>
      </c>
    </row>
    <row r="64" spans="1:7" x14ac:dyDescent="0.6">
      <c r="A64" s="12"/>
      <c r="B64" s="8"/>
      <c r="C64" s="8"/>
      <c r="D64" s="8"/>
      <c r="E64" s="8"/>
      <c r="F64" s="8"/>
      <c r="G64" s="13"/>
    </row>
    <row r="65" spans="1:7" x14ac:dyDescent="0.6">
      <c r="A65" s="12" t="s">
        <v>49</v>
      </c>
      <c r="B65" s="9">
        <v>-729072</v>
      </c>
      <c r="C65" s="8" t="s">
        <v>2</v>
      </c>
      <c r="D65" s="9">
        <v>115896</v>
      </c>
      <c r="E65" s="9">
        <v>105533</v>
      </c>
      <c r="F65" s="9">
        <v>138754</v>
      </c>
      <c r="G65" s="14">
        <v>-368889</v>
      </c>
    </row>
    <row r="66" spans="1:7" x14ac:dyDescent="0.6">
      <c r="A66" s="12"/>
      <c r="B66" s="8"/>
      <c r="C66" s="8"/>
      <c r="D66" s="8"/>
      <c r="E66" s="8"/>
      <c r="F66" s="8"/>
      <c r="G66" s="13"/>
    </row>
    <row r="67" spans="1:7" x14ac:dyDescent="0.6">
      <c r="A67" s="12" t="s">
        <v>50</v>
      </c>
      <c r="B67" s="9">
        <v>1233022</v>
      </c>
      <c r="C67" s="8" t="s">
        <v>2</v>
      </c>
      <c r="D67" s="8" t="s">
        <v>2</v>
      </c>
      <c r="E67" s="8" t="s">
        <v>2</v>
      </c>
      <c r="F67" s="8" t="s">
        <v>2</v>
      </c>
      <c r="G67" s="14">
        <v>1233022</v>
      </c>
    </row>
    <row r="68" spans="1:7" x14ac:dyDescent="0.6">
      <c r="A68" s="12" t="s">
        <v>51</v>
      </c>
      <c r="B68" s="9">
        <v>10175160</v>
      </c>
      <c r="C68" s="8" t="s">
        <v>2</v>
      </c>
      <c r="D68" s="8" t="s">
        <v>2</v>
      </c>
      <c r="E68" s="8" t="s">
        <v>2</v>
      </c>
      <c r="F68" s="8" t="s">
        <v>2</v>
      </c>
      <c r="G68" s="14">
        <v>10175160</v>
      </c>
    </row>
    <row r="69" spans="1:7" x14ac:dyDescent="0.6">
      <c r="A69" s="12" t="s">
        <v>5</v>
      </c>
      <c r="B69" s="9">
        <v>-2313769</v>
      </c>
      <c r="C69" s="8" t="s">
        <v>2</v>
      </c>
      <c r="D69" s="8" t="s">
        <v>2</v>
      </c>
      <c r="E69" s="8" t="s">
        <v>2</v>
      </c>
      <c r="F69" s="8" t="s">
        <v>2</v>
      </c>
      <c r="G69" s="14">
        <v>-2313769</v>
      </c>
    </row>
    <row r="70" spans="1:7" x14ac:dyDescent="0.6">
      <c r="A70" s="12" t="s">
        <v>52</v>
      </c>
      <c r="B70" s="9">
        <v>-6628369</v>
      </c>
      <c r="C70" s="8" t="s">
        <v>2</v>
      </c>
      <c r="D70" s="8" t="s">
        <v>2</v>
      </c>
      <c r="E70" s="8" t="s">
        <v>2</v>
      </c>
      <c r="F70" s="8" t="s">
        <v>2</v>
      </c>
      <c r="G70" s="14">
        <v>-6628369</v>
      </c>
    </row>
    <row r="71" spans="1:7" x14ac:dyDescent="0.6">
      <c r="A71" s="12"/>
      <c r="B71" s="8"/>
      <c r="C71" s="8"/>
      <c r="D71" s="8"/>
      <c r="E71" s="8"/>
      <c r="F71" s="8"/>
      <c r="G71" s="13"/>
    </row>
    <row r="72" spans="1:7" x14ac:dyDescent="0.6">
      <c r="A72" s="12" t="s">
        <v>53</v>
      </c>
      <c r="B72" s="8" t="s">
        <v>2</v>
      </c>
      <c r="C72" s="8" t="s">
        <v>2</v>
      </c>
      <c r="D72" s="8" t="s">
        <v>2</v>
      </c>
      <c r="E72" s="8" t="s">
        <v>2</v>
      </c>
      <c r="F72" s="8" t="s">
        <v>2</v>
      </c>
      <c r="G72" s="13" t="s">
        <v>2</v>
      </c>
    </row>
    <row r="73" spans="1:7" x14ac:dyDescent="0.6">
      <c r="A73" s="12"/>
      <c r="B73" s="8"/>
      <c r="C73" s="8"/>
      <c r="D73" s="8"/>
      <c r="E73" s="8"/>
      <c r="F73" s="8"/>
      <c r="G73" s="13"/>
    </row>
    <row r="74" spans="1:7" x14ac:dyDescent="0.6">
      <c r="A74" s="12" t="s">
        <v>54</v>
      </c>
      <c r="B74" s="9">
        <v>8083301</v>
      </c>
      <c r="C74" s="9">
        <v>1467351</v>
      </c>
      <c r="D74" s="9">
        <v>4006616</v>
      </c>
      <c r="E74" s="9">
        <v>3237126</v>
      </c>
      <c r="F74" s="9">
        <v>3811300</v>
      </c>
      <c r="G74" s="14">
        <v>20605694</v>
      </c>
    </row>
    <row r="75" spans="1:7" x14ac:dyDescent="0.6">
      <c r="A75" s="12" t="s">
        <v>55</v>
      </c>
      <c r="B75" s="9">
        <v>517450</v>
      </c>
      <c r="C75" s="9">
        <v>-103832</v>
      </c>
      <c r="D75" s="9">
        <v>-139932</v>
      </c>
      <c r="E75" s="9">
        <v>-8873</v>
      </c>
      <c r="F75" s="9">
        <v>-230054</v>
      </c>
      <c r="G75" s="14">
        <v>34759</v>
      </c>
    </row>
    <row r="76" spans="1:7" x14ac:dyDescent="0.6">
      <c r="A76" s="15" t="s">
        <v>56</v>
      </c>
      <c r="B76" s="16">
        <v>8600751</v>
      </c>
      <c r="C76" s="16">
        <v>1363519</v>
      </c>
      <c r="D76" s="16">
        <v>3866684</v>
      </c>
      <c r="E76" s="16">
        <v>3228253</v>
      </c>
      <c r="F76" s="16">
        <v>3581246</v>
      </c>
      <c r="G76" s="18">
        <v>20640453</v>
      </c>
    </row>
  </sheetData>
  <mergeCells count="4">
    <mergeCell ref="G7:G8"/>
    <mergeCell ref="A44:A45"/>
    <mergeCell ref="G44:G45"/>
    <mergeCell ref="A7:A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2026-06-01T14:01:04Z</dcterms:modified>
</cp:coreProperties>
</file>