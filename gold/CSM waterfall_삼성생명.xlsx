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13_ncr:1_{13A584DB-E234-4CF1-AE86-ACF2A4732876}" xr6:coauthVersionLast="47" xr6:coauthVersionMax="47" xr10:uidLastSave="{00000000-0000-0000-0000-000000000000}"/>
  <bookViews>
    <workbookView xWindow="-83" yWindow="0" windowWidth="10965" windowHeight="13223" xr2:uid="{3CD259B9-5A78-42E0-B669-107C3DC53255}"/>
  </bookViews>
  <sheets>
    <sheet name="Sheet2" sheetId="2" r:id="rId1"/>
    <sheet name="부문별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2" l="1"/>
  <c r="I5" i="2"/>
  <c r="J5" i="2"/>
  <c r="J7" i="2"/>
  <c r="I7" i="2"/>
  <c r="H7" i="2"/>
  <c r="J4" i="2"/>
  <c r="I4" i="2"/>
  <c r="H4" i="2"/>
  <c r="J6" i="2"/>
  <c r="I6" i="2"/>
  <c r="H6" i="2"/>
  <c r="J3" i="2"/>
  <c r="I3" i="2"/>
  <c r="H3" i="2"/>
  <c r="J2" i="2"/>
  <c r="I2" i="2"/>
  <c r="H2" i="2"/>
</calcChain>
</file>

<file path=xl/sharedStrings.xml><?xml version="1.0" encoding="utf-8"?>
<sst xmlns="http://schemas.openxmlformats.org/spreadsheetml/2006/main" count="100" uniqueCount="59">
  <si>
    <t>원보험사코드</t>
  </si>
  <si>
    <t>원수사명</t>
  </si>
  <si>
    <t>티커</t>
  </si>
  <si>
    <t>생손보여부</t>
  </si>
  <si>
    <t>항목번호</t>
  </si>
  <si>
    <t>항목명</t>
  </si>
  <si>
    <t>공시분기</t>
  </si>
  <si>
    <t>2025.4Q</t>
    <phoneticPr fontId="2" type="noConversion"/>
  </si>
  <si>
    <t>기초 CSM</t>
    <phoneticPr fontId="2" type="noConversion"/>
  </si>
  <si>
    <t>신계약 CSM</t>
    <phoneticPr fontId="2" type="noConversion"/>
  </si>
  <si>
    <t>이자 부리</t>
    <phoneticPr fontId="2" type="noConversion"/>
  </si>
  <si>
    <t>CSM 상각</t>
    <phoneticPr fontId="2" type="noConversion"/>
  </si>
  <si>
    <t>기말 CSM</t>
    <phoneticPr fontId="2" type="noConversion"/>
  </si>
  <si>
    <t>보험계약마진</t>
  </si>
  <si>
    <t>가정 및 경험 조정 등</t>
    <phoneticPr fontId="2" type="noConversion"/>
  </si>
  <si>
    <t>당기</t>
  </si>
  <si>
    <t>보험계약의 세분</t>
  </si>
  <si>
    <t>발행한 보험계약</t>
  </si>
  <si>
    <t>계약의 유형</t>
  </si>
  <si>
    <t>구성요소별 보험계약</t>
  </si>
  <si>
    <t>구성요소별 보험계약  합계</t>
  </si>
  <si>
    <t>미래 현금흐름의 현재가치 추정치</t>
  </si>
  <si>
    <t>비금융위험에 대한 위험조정</t>
  </si>
  <si>
    <t>전환일에 존재했던 계약 중 공정가치법을 적용한 계약의 보험계약마진</t>
  </si>
  <si>
    <t>전환일에 존재했던 계약 중 수정소급법을 적용한 계약의 보험계약마진</t>
  </si>
  <si>
    <t>전환일에 존재했던 계약 중 수정소급법이나 공정가치법을 적용하지 아니한 계약의 보험계약마진</t>
  </si>
  <si>
    <t>KR0069</t>
    <phoneticPr fontId="2" type="noConversion"/>
  </si>
  <si>
    <t>삼성생명</t>
    <phoneticPr fontId="2" type="noConversion"/>
  </si>
  <si>
    <t>생명보험</t>
    <phoneticPr fontId="2" type="noConversion"/>
  </si>
  <si>
    <t>보험계약 구성요소별 변동분에 대한 차이조정 공시(상품라인별)</t>
  </si>
  <si>
    <t>(단위 : 백만원)</t>
  </si>
  <si>
    <t>사망보험</t>
  </si>
  <si>
    <t>건강보험</t>
  </si>
  <si>
    <t>연금저축보험</t>
  </si>
  <si>
    <t>보험계약 순부채(자산)(기초)</t>
  </si>
  <si>
    <t>보험계약자산(기초)</t>
  </si>
  <si>
    <t>보험계약부채(기초)</t>
  </si>
  <si>
    <t>당기손익과 기타포괄손익의 변동</t>
  </si>
  <si>
    <t>보험서비스결과</t>
  </si>
  <si>
    <t>현행서비스 관련 변동</t>
  </si>
  <si>
    <t>제공한 서비스에 대해 인식한 보험계약마진</t>
  </si>
  <si>
    <t>위험해제로 인한 비금융위험에 대한 위험조정의 변동</t>
  </si>
  <si>
    <t>경험조정</t>
  </si>
  <si>
    <t>미래서비스 관련 변동</t>
  </si>
  <si>
    <t>당기 최초 인식 계약</t>
  </si>
  <si>
    <t>보험계약마진 추정의 변경</t>
  </si>
  <si>
    <t>손실부담계약의 손실(손실환입) 추정의 변경</t>
  </si>
  <si>
    <t>발생사고부채의 조정</t>
  </si>
  <si>
    <t>보험계약의 순 금융손익</t>
  </si>
  <si>
    <t>보험계약으로부터의 현금흐름</t>
  </si>
  <si>
    <t>수취한 보험료</t>
  </si>
  <si>
    <t>투자요소를 포함한 보험금 및 기타 보험서비스비용</t>
  </si>
  <si>
    <t>보험취득현금흐름</t>
  </si>
  <si>
    <t>보험계약 순부채(자산)(기말)</t>
  </si>
  <si>
    <t>보험계약자산(기말)</t>
  </si>
  <si>
    <t>보험계약부채(기말)</t>
  </si>
  <si>
    <t>사망보험</t>
    <phoneticPr fontId="2" type="noConversion"/>
  </si>
  <si>
    <t>건강보험</t>
    <phoneticPr fontId="2" type="noConversion"/>
  </si>
  <si>
    <t>연금저축보험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</si>
</sst>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/>
      <diagonal/>
    </border>
    <border>
      <left style="thin">
        <color rgb="FF000000"/>
      </left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/>
      <bottom/>
      <diagonal/>
    </border>
    <border>
      <left/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808080"/>
      </top>
      <bottom style="thin">
        <color rgb="FF000000"/>
      </bottom>
      <diagonal/>
    </border>
    <border>
      <left/>
      <right/>
      <top style="thin">
        <color rgb="FF80808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3" fontId="1" fillId="0" borderId="6" xfId="0" applyNumberFormat="1" applyFont="1" applyBorder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3" fontId="1" fillId="0" borderId="7" xfId="0" applyNumberFormat="1" applyFont="1" applyBorder="1" applyAlignment="1">
      <alignment horizontal="right" vertical="center" wrapText="1"/>
    </xf>
    <xf numFmtId="3" fontId="1" fillId="0" borderId="8" xfId="0" applyNumberFormat="1" applyFont="1" applyBorder="1" applyAlignment="1">
      <alignment horizontal="right" vertical="center" wrapText="1"/>
    </xf>
    <xf numFmtId="0" fontId="1" fillId="0" borderId="21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D3D4-06E9-4F60-881F-A872FA311F9A}">
  <dimension ref="A1:N25"/>
  <sheetViews>
    <sheetView tabSelected="1" workbookViewId="0"/>
  </sheetViews>
  <sheetFormatPr defaultRowHeight="16.899999999999999" x14ac:dyDescent="0.6"/>
  <cols>
    <col min="8" max="8" width="15.1875" bestFit="1" customWidth="1"/>
    <col min="10" max="10" width="9.75" bestFit="1" customWidth="1"/>
  </cols>
  <sheetData>
    <row r="1" spans="1:14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56</v>
      </c>
      <c r="I1" s="2" t="s">
        <v>57</v>
      </c>
      <c r="J1" s="2" t="s">
        <v>58</v>
      </c>
    </row>
    <row r="2" spans="1:14" x14ac:dyDescent="0.6">
      <c r="A2" s="2" t="s">
        <v>26</v>
      </c>
      <c r="B2" s="2" t="s">
        <v>27</v>
      </c>
      <c r="C2" s="2"/>
      <c r="D2" s="2" t="s">
        <v>28</v>
      </c>
      <c r="E2" s="2">
        <v>1</v>
      </c>
      <c r="F2" s="2" t="s">
        <v>8</v>
      </c>
      <c r="G2" s="2" t="s">
        <v>7</v>
      </c>
      <c r="H2" s="1">
        <f>SUM(부문별!G10:I10)</f>
        <v>4760509</v>
      </c>
      <c r="I2" s="1">
        <f>SUM(부문별!M10:O10)</f>
        <v>7096915</v>
      </c>
      <c r="J2" s="1">
        <f>SUM(부문별!S10:U10)</f>
        <v>1044599</v>
      </c>
      <c r="N2" s="1"/>
    </row>
    <row r="3" spans="1:14" x14ac:dyDescent="0.6">
      <c r="A3" s="2" t="s">
        <v>26</v>
      </c>
      <c r="B3" s="2" t="s">
        <v>27</v>
      </c>
      <c r="C3" s="2"/>
      <c r="D3" s="2" t="s">
        <v>28</v>
      </c>
      <c r="E3" s="2">
        <v>2</v>
      </c>
      <c r="F3" s="2" t="s">
        <v>9</v>
      </c>
      <c r="G3" s="2" t="s">
        <v>7</v>
      </c>
      <c r="H3" s="1">
        <f>SUM(부문별!G20:I20)</f>
        <v>676618</v>
      </c>
      <c r="I3" s="1">
        <f>SUM(부문별!M20:O20)</f>
        <v>2301353</v>
      </c>
      <c r="J3" s="1">
        <f>SUM(부문별!S20:U20)</f>
        <v>81501</v>
      </c>
    </row>
    <row r="4" spans="1:14" x14ac:dyDescent="0.6">
      <c r="A4" s="2" t="s">
        <v>26</v>
      </c>
      <c r="B4" s="2" t="s">
        <v>27</v>
      </c>
      <c r="C4" s="2"/>
      <c r="D4" s="2" t="s">
        <v>28</v>
      </c>
      <c r="E4">
        <v>3</v>
      </c>
      <c r="F4" s="2" t="s">
        <v>10</v>
      </c>
      <c r="G4" t="s">
        <v>7</v>
      </c>
      <c r="H4" s="1">
        <f>SUM(부문별!G24:I24)</f>
        <v>183826</v>
      </c>
      <c r="I4" s="1">
        <f>SUM(부문별!M24:O24)</f>
        <v>274060</v>
      </c>
      <c r="J4" s="1">
        <f>SUM(부문별!S24:U24)</f>
        <v>35867</v>
      </c>
    </row>
    <row r="5" spans="1:14" x14ac:dyDescent="0.6">
      <c r="A5" s="2" t="s">
        <v>26</v>
      </c>
      <c r="B5" s="2" t="s">
        <v>27</v>
      </c>
      <c r="C5" s="2"/>
      <c r="D5" s="2" t="s">
        <v>28</v>
      </c>
      <c r="E5" s="2">
        <v>4</v>
      </c>
      <c r="F5" s="2" t="s">
        <v>14</v>
      </c>
      <c r="G5" t="s">
        <v>7</v>
      </c>
      <c r="H5" s="1">
        <f t="shared" ref="H5:J5" si="0">H7-H6-H4-H3-H2</f>
        <v>-800515</v>
      </c>
      <c r="I5" s="1">
        <f t="shared" si="0"/>
        <v>-903237</v>
      </c>
      <c r="J5" s="1">
        <f t="shared" si="0"/>
        <v>-54023</v>
      </c>
    </row>
    <row r="6" spans="1:14" x14ac:dyDescent="0.6">
      <c r="A6" s="2" t="s">
        <v>26</v>
      </c>
      <c r="B6" s="2" t="s">
        <v>27</v>
      </c>
      <c r="C6" s="2"/>
      <c r="D6" s="2" t="s">
        <v>28</v>
      </c>
      <c r="E6" s="2">
        <v>5</v>
      </c>
      <c r="F6" s="2" t="s">
        <v>11</v>
      </c>
      <c r="G6" t="s">
        <v>7</v>
      </c>
      <c r="H6" s="1">
        <f>SUM(부문별!G16:I16)</f>
        <v>-522045</v>
      </c>
      <c r="I6" s="1">
        <f>SUM(부문별!M16:O16)</f>
        <v>-818895</v>
      </c>
      <c r="J6" s="1">
        <f>SUM(부문별!S16:U16)</f>
        <v>-138659</v>
      </c>
    </row>
    <row r="7" spans="1:14" x14ac:dyDescent="0.6">
      <c r="A7" s="2" t="s">
        <v>26</v>
      </c>
      <c r="B7" s="2" t="s">
        <v>27</v>
      </c>
      <c r="C7" s="2"/>
      <c r="D7" s="2" t="s">
        <v>28</v>
      </c>
      <c r="E7" s="2">
        <v>6</v>
      </c>
      <c r="F7" s="2" t="s">
        <v>12</v>
      </c>
      <c r="G7" t="s">
        <v>7</v>
      </c>
      <c r="H7" s="1">
        <f>SUM(부문별!G29:I29)</f>
        <v>4298393</v>
      </c>
      <c r="I7" s="1">
        <f>SUM(부문별!M29:O29)</f>
        <v>7950196</v>
      </c>
      <c r="J7" s="1">
        <f>SUM(부문별!S29:U29)</f>
        <v>969285</v>
      </c>
    </row>
    <row r="8" spans="1:14" x14ac:dyDescent="0.6">
      <c r="A8" s="2"/>
      <c r="B8" s="2"/>
      <c r="C8" s="2"/>
      <c r="D8" s="2"/>
      <c r="H8" s="1"/>
    </row>
    <row r="9" spans="1:14" x14ac:dyDescent="0.6">
      <c r="A9" s="2"/>
      <c r="B9" s="2"/>
      <c r="C9" s="2"/>
      <c r="D9" s="2"/>
    </row>
    <row r="10" spans="1:14" x14ac:dyDescent="0.6">
      <c r="A10" s="2"/>
      <c r="B10" s="2"/>
      <c r="C10" s="2"/>
      <c r="D10" s="2"/>
      <c r="H10" s="1"/>
    </row>
    <row r="11" spans="1:14" x14ac:dyDescent="0.6">
      <c r="A11" s="2"/>
      <c r="B11" s="2"/>
      <c r="C11" s="2"/>
      <c r="D11" s="2"/>
      <c r="H11" s="1"/>
      <c r="I11" s="1"/>
      <c r="J11" s="1"/>
    </row>
    <row r="12" spans="1:14" x14ac:dyDescent="0.6">
      <c r="A12" s="2"/>
      <c r="B12" s="2"/>
      <c r="C12" s="2"/>
      <c r="D12" s="2"/>
    </row>
    <row r="13" spans="1:14" x14ac:dyDescent="0.6">
      <c r="A13" s="2"/>
      <c r="B13" s="2"/>
      <c r="C13" s="2"/>
      <c r="D13" s="2"/>
      <c r="H13" s="1"/>
    </row>
    <row r="14" spans="1:14" x14ac:dyDescent="0.6">
      <c r="A14" s="2"/>
      <c r="B14" s="2"/>
      <c r="C14" s="2"/>
      <c r="D14" s="2"/>
      <c r="H14" s="1"/>
    </row>
    <row r="15" spans="1:14" x14ac:dyDescent="0.6">
      <c r="A15" s="2"/>
      <c r="B15" s="2"/>
      <c r="C15" s="2"/>
      <c r="D15" s="2"/>
      <c r="H15" s="1"/>
    </row>
    <row r="16" spans="1:14" x14ac:dyDescent="0.6">
      <c r="A16" s="2"/>
      <c r="B16" s="2"/>
      <c r="C16" s="2"/>
      <c r="D16" s="2"/>
    </row>
    <row r="17" spans="1:8" x14ac:dyDescent="0.6">
      <c r="A17" s="2"/>
      <c r="B17" s="2"/>
      <c r="C17" s="2"/>
      <c r="D17" s="2"/>
      <c r="H17" s="1"/>
    </row>
    <row r="18" spans="1:8" x14ac:dyDescent="0.6">
      <c r="A18" s="2"/>
      <c r="B18" s="2"/>
      <c r="C18" s="2"/>
      <c r="D18" s="2"/>
      <c r="H18" s="1"/>
    </row>
    <row r="25" spans="1:8" x14ac:dyDescent="0.6">
      <c r="H25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A147-F3E2-47B5-86FD-2BD8F9A1B18F}">
  <dimension ref="A1:V31"/>
  <sheetViews>
    <sheetView zoomScale="50" zoomScaleNormal="50" workbookViewId="0">
      <selection sqref="A1:B1"/>
    </sheetView>
  </sheetViews>
  <sheetFormatPr defaultRowHeight="16.899999999999999" x14ac:dyDescent="0.6"/>
  <cols>
    <col min="1" max="1" width="9.6875" bestFit="1" customWidth="1"/>
    <col min="2" max="2" width="9.0625" bestFit="1" customWidth="1"/>
    <col min="3" max="3" width="29.375" bestFit="1" customWidth="1"/>
    <col min="4" max="4" width="24.9375" bestFit="1" customWidth="1"/>
    <col min="5" max="7" width="13.8125" bestFit="1" customWidth="1"/>
    <col min="8" max="8" width="24" bestFit="1" customWidth="1"/>
    <col min="9" max="9" width="29.375" bestFit="1" customWidth="1"/>
    <col min="10" max="10" width="24.9375" bestFit="1" customWidth="1"/>
    <col min="11" max="11" width="11" bestFit="1" customWidth="1"/>
    <col min="12" max="13" width="9.8125" bestFit="1" customWidth="1"/>
    <col min="14" max="14" width="24" bestFit="1" customWidth="1"/>
  </cols>
  <sheetData>
    <row r="1" spans="1:22" ht="40.5" customHeight="1" x14ac:dyDescent="0.6">
      <c r="A1" s="37" t="s">
        <v>29</v>
      </c>
      <c r="B1" s="37"/>
    </row>
    <row r="2" spans="1:22" ht="54" customHeight="1" x14ac:dyDescent="0.6">
      <c r="A2" s="7" t="s">
        <v>15</v>
      </c>
      <c r="B2" s="8" t="s">
        <v>30</v>
      </c>
    </row>
    <row r="3" spans="1:22" x14ac:dyDescent="0.6">
      <c r="A3" s="11"/>
      <c r="B3" s="12"/>
      <c r="C3" s="12"/>
      <c r="D3" s="12"/>
      <c r="E3" s="34" t="s">
        <v>16</v>
      </c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6"/>
    </row>
    <row r="4" spans="1:22" x14ac:dyDescent="0.6">
      <c r="A4" s="13"/>
      <c r="B4" s="9"/>
      <c r="C4" s="9"/>
      <c r="D4" s="9"/>
      <c r="E4" s="24" t="s">
        <v>17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6"/>
    </row>
    <row r="5" spans="1:22" x14ac:dyDescent="0.6">
      <c r="A5" s="13"/>
      <c r="B5" s="9"/>
      <c r="C5" s="9"/>
      <c r="D5" s="9"/>
      <c r="E5" s="24" t="s">
        <v>18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6"/>
    </row>
    <row r="6" spans="1:22" x14ac:dyDescent="0.6">
      <c r="A6" s="13"/>
      <c r="B6" s="9"/>
      <c r="C6" s="9"/>
      <c r="D6" s="9"/>
      <c r="E6" s="24" t="s">
        <v>31</v>
      </c>
      <c r="F6" s="25"/>
      <c r="G6" s="25"/>
      <c r="H6" s="25"/>
      <c r="I6" s="25"/>
      <c r="J6" s="27"/>
      <c r="K6" s="24" t="s">
        <v>32</v>
      </c>
      <c r="L6" s="25"/>
      <c r="M6" s="25"/>
      <c r="N6" s="25"/>
      <c r="O6" s="25"/>
      <c r="P6" s="27"/>
      <c r="Q6" s="24" t="s">
        <v>33</v>
      </c>
      <c r="R6" s="25"/>
      <c r="S6" s="25"/>
      <c r="T6" s="25"/>
      <c r="U6" s="25"/>
      <c r="V6" s="26"/>
    </row>
    <row r="7" spans="1:22" ht="16.899999999999999" customHeight="1" x14ac:dyDescent="0.6">
      <c r="A7" s="13"/>
      <c r="B7" s="9"/>
      <c r="C7" s="9"/>
      <c r="D7" s="9"/>
      <c r="E7" s="24" t="s">
        <v>19</v>
      </c>
      <c r="F7" s="25"/>
      <c r="G7" s="25"/>
      <c r="H7" s="25"/>
      <c r="I7" s="27"/>
      <c r="J7" s="28" t="s">
        <v>20</v>
      </c>
      <c r="K7" s="24" t="s">
        <v>19</v>
      </c>
      <c r="L7" s="25"/>
      <c r="M7" s="25"/>
      <c r="N7" s="25"/>
      <c r="O7" s="27"/>
      <c r="P7" s="28" t="s">
        <v>20</v>
      </c>
      <c r="Q7" s="24" t="s">
        <v>19</v>
      </c>
      <c r="R7" s="25"/>
      <c r="S7" s="25"/>
      <c r="T7" s="25"/>
      <c r="U7" s="27"/>
      <c r="V7" s="31" t="s">
        <v>20</v>
      </c>
    </row>
    <row r="8" spans="1:22" x14ac:dyDescent="0.6">
      <c r="A8" s="13"/>
      <c r="B8" s="9"/>
      <c r="C8" s="9"/>
      <c r="D8" s="9"/>
      <c r="E8" s="28" t="s">
        <v>21</v>
      </c>
      <c r="F8" s="28" t="s">
        <v>22</v>
      </c>
      <c r="G8" s="24" t="s">
        <v>13</v>
      </c>
      <c r="H8" s="25"/>
      <c r="I8" s="27"/>
      <c r="J8" s="29"/>
      <c r="K8" s="28" t="s">
        <v>21</v>
      </c>
      <c r="L8" s="28" t="s">
        <v>22</v>
      </c>
      <c r="M8" s="24" t="s">
        <v>13</v>
      </c>
      <c r="N8" s="25"/>
      <c r="O8" s="27"/>
      <c r="P8" s="29"/>
      <c r="Q8" s="28" t="s">
        <v>21</v>
      </c>
      <c r="R8" s="28" t="s">
        <v>22</v>
      </c>
      <c r="S8" s="24" t="s">
        <v>13</v>
      </c>
      <c r="T8" s="25"/>
      <c r="U8" s="27"/>
      <c r="V8" s="32"/>
    </row>
    <row r="9" spans="1:22" ht="148.5" x14ac:dyDescent="0.6">
      <c r="A9" s="13"/>
      <c r="B9" s="9"/>
      <c r="C9" s="9"/>
      <c r="D9" s="9"/>
      <c r="E9" s="30"/>
      <c r="F9" s="30"/>
      <c r="G9" s="9" t="s">
        <v>24</v>
      </c>
      <c r="H9" s="9" t="s">
        <v>23</v>
      </c>
      <c r="I9" s="9" t="s">
        <v>25</v>
      </c>
      <c r="J9" s="30"/>
      <c r="K9" s="30"/>
      <c r="L9" s="30"/>
      <c r="M9" s="9" t="s">
        <v>24</v>
      </c>
      <c r="N9" s="9" t="s">
        <v>23</v>
      </c>
      <c r="O9" s="9" t="s">
        <v>25</v>
      </c>
      <c r="P9" s="30"/>
      <c r="Q9" s="30"/>
      <c r="R9" s="30"/>
      <c r="S9" s="9" t="s">
        <v>24</v>
      </c>
      <c r="T9" s="9" t="s">
        <v>23</v>
      </c>
      <c r="U9" s="9" t="s">
        <v>25</v>
      </c>
      <c r="V9" s="33"/>
    </row>
    <row r="10" spans="1:22" x14ac:dyDescent="0.6">
      <c r="A10" s="17" t="s">
        <v>34</v>
      </c>
      <c r="B10" s="38"/>
      <c r="C10" s="38"/>
      <c r="D10" s="18"/>
      <c r="E10" s="4">
        <v>34335846</v>
      </c>
      <c r="F10" s="4">
        <v>990653</v>
      </c>
      <c r="G10" s="4">
        <v>416927</v>
      </c>
      <c r="H10" s="4">
        <v>1480805</v>
      </c>
      <c r="I10" s="4">
        <v>2862777</v>
      </c>
      <c r="J10" s="4">
        <v>40087008</v>
      </c>
      <c r="K10" s="4">
        <v>32066306</v>
      </c>
      <c r="L10" s="4">
        <v>1337274</v>
      </c>
      <c r="M10" s="4">
        <v>855873</v>
      </c>
      <c r="N10" s="4">
        <v>3311090</v>
      </c>
      <c r="O10" s="4">
        <v>2929952</v>
      </c>
      <c r="P10" s="4">
        <v>40500495</v>
      </c>
      <c r="Q10" s="4">
        <v>119883089</v>
      </c>
      <c r="R10" s="4">
        <v>641106</v>
      </c>
      <c r="S10" s="4">
        <v>69015</v>
      </c>
      <c r="T10" s="4">
        <v>437508</v>
      </c>
      <c r="U10" s="4">
        <v>538076</v>
      </c>
      <c r="V10" s="6">
        <v>121568794</v>
      </c>
    </row>
    <row r="11" spans="1:22" x14ac:dyDescent="0.6">
      <c r="A11" s="17" t="s">
        <v>35</v>
      </c>
      <c r="B11" s="38"/>
      <c r="C11" s="38"/>
      <c r="D11" s="18"/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5">
        <v>0</v>
      </c>
    </row>
    <row r="12" spans="1:22" x14ac:dyDescent="0.6">
      <c r="A12" s="17" t="s">
        <v>36</v>
      </c>
      <c r="B12" s="38"/>
      <c r="C12" s="38"/>
      <c r="D12" s="18"/>
      <c r="E12" s="4">
        <v>34335846</v>
      </c>
      <c r="F12" s="4">
        <v>990653</v>
      </c>
      <c r="G12" s="4">
        <v>416927</v>
      </c>
      <c r="H12" s="4">
        <v>1480805</v>
      </c>
      <c r="I12" s="4">
        <v>2862777</v>
      </c>
      <c r="J12" s="4">
        <v>40087008</v>
      </c>
      <c r="K12" s="4">
        <v>32066306</v>
      </c>
      <c r="L12" s="4">
        <v>1337274</v>
      </c>
      <c r="M12" s="4">
        <v>855873</v>
      </c>
      <c r="N12" s="4">
        <v>3311090</v>
      </c>
      <c r="O12" s="4">
        <v>2929952</v>
      </c>
      <c r="P12" s="4">
        <v>40500495</v>
      </c>
      <c r="Q12" s="4">
        <v>119883089</v>
      </c>
      <c r="R12" s="4">
        <v>641106</v>
      </c>
      <c r="S12" s="4">
        <v>69015</v>
      </c>
      <c r="T12" s="4">
        <v>437508</v>
      </c>
      <c r="U12" s="4">
        <v>538076</v>
      </c>
      <c r="V12" s="6">
        <v>121568794</v>
      </c>
    </row>
    <row r="13" spans="1:22" ht="16.899999999999999" customHeight="1" x14ac:dyDescent="0.6">
      <c r="A13" s="17" t="s">
        <v>37</v>
      </c>
      <c r="B13" s="38"/>
      <c r="C13" s="38"/>
      <c r="D13" s="18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4"/>
    </row>
    <row r="14" spans="1:22" x14ac:dyDescent="0.6">
      <c r="A14" s="21" t="s">
        <v>37</v>
      </c>
      <c r="B14" s="39" t="s">
        <v>38</v>
      </c>
      <c r="C14" s="38"/>
      <c r="D14" s="18"/>
      <c r="E14" s="4">
        <v>101213</v>
      </c>
      <c r="F14" s="4">
        <v>11250</v>
      </c>
      <c r="G14" s="4">
        <v>-96263</v>
      </c>
      <c r="H14" s="4">
        <v>-535129</v>
      </c>
      <c r="I14" s="4">
        <v>-14550</v>
      </c>
      <c r="J14" s="4">
        <v>-533479</v>
      </c>
      <c r="K14" s="4">
        <v>-1304615</v>
      </c>
      <c r="L14" s="4">
        <v>58174</v>
      </c>
      <c r="M14" s="4">
        <v>-140186</v>
      </c>
      <c r="N14" s="4">
        <v>-480900</v>
      </c>
      <c r="O14" s="4">
        <v>1200307</v>
      </c>
      <c r="P14" s="4">
        <v>-667220</v>
      </c>
      <c r="Q14" s="4">
        <v>170402</v>
      </c>
      <c r="R14" s="4">
        <v>-28845</v>
      </c>
      <c r="S14" s="4">
        <v>-19646</v>
      </c>
      <c r="T14" s="4">
        <v>-78827</v>
      </c>
      <c r="U14" s="4">
        <v>-12708</v>
      </c>
      <c r="V14" s="6">
        <v>30376</v>
      </c>
    </row>
    <row r="15" spans="1:22" ht="27" customHeight="1" x14ac:dyDescent="0.6">
      <c r="A15" s="23"/>
      <c r="B15" s="40" t="s">
        <v>38</v>
      </c>
      <c r="C15" s="39" t="s">
        <v>39</v>
      </c>
      <c r="D15" s="18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5"/>
    </row>
    <row r="16" spans="1:22" ht="27" customHeight="1" x14ac:dyDescent="0.6">
      <c r="A16" s="23"/>
      <c r="B16" s="41"/>
      <c r="C16" s="40" t="s">
        <v>39</v>
      </c>
      <c r="D16" s="10" t="s">
        <v>40</v>
      </c>
      <c r="E16" s="3">
        <v>0</v>
      </c>
      <c r="F16" s="3">
        <v>0</v>
      </c>
      <c r="G16" s="4">
        <v>-43549</v>
      </c>
      <c r="H16" s="4">
        <v>-136544</v>
      </c>
      <c r="I16" s="4">
        <v>-341952</v>
      </c>
      <c r="J16" s="4">
        <v>-522045</v>
      </c>
      <c r="K16" s="3">
        <v>0</v>
      </c>
      <c r="L16" s="3">
        <v>0</v>
      </c>
      <c r="M16" s="4">
        <v>-70987</v>
      </c>
      <c r="N16" s="4">
        <v>-249676</v>
      </c>
      <c r="O16" s="4">
        <v>-498232</v>
      </c>
      <c r="P16" s="4">
        <v>-818895</v>
      </c>
      <c r="Q16" s="3">
        <v>0</v>
      </c>
      <c r="R16" s="3">
        <v>0</v>
      </c>
      <c r="S16" s="4">
        <v>-7903</v>
      </c>
      <c r="T16" s="4">
        <v>-49740</v>
      </c>
      <c r="U16" s="4">
        <v>-81016</v>
      </c>
      <c r="V16" s="6">
        <v>-138659</v>
      </c>
    </row>
    <row r="17" spans="1:22" ht="27" customHeight="1" x14ac:dyDescent="0.6">
      <c r="A17" s="23"/>
      <c r="B17" s="41"/>
      <c r="C17" s="41"/>
      <c r="D17" s="10" t="s">
        <v>41</v>
      </c>
      <c r="E17" s="3">
        <v>0</v>
      </c>
      <c r="F17" s="4">
        <v>-110076</v>
      </c>
      <c r="G17" s="3">
        <v>0</v>
      </c>
      <c r="H17" s="3">
        <v>0</v>
      </c>
      <c r="I17" s="3">
        <v>0</v>
      </c>
      <c r="J17" s="4">
        <v>-110076</v>
      </c>
      <c r="K17" s="3">
        <v>0</v>
      </c>
      <c r="L17" s="4">
        <v>-176853</v>
      </c>
      <c r="M17" s="3">
        <v>0</v>
      </c>
      <c r="N17" s="3">
        <v>0</v>
      </c>
      <c r="O17" s="3">
        <v>0</v>
      </c>
      <c r="P17" s="4">
        <v>-176853</v>
      </c>
      <c r="Q17" s="3">
        <v>0</v>
      </c>
      <c r="R17" s="4">
        <v>-58631</v>
      </c>
      <c r="S17" s="3">
        <v>0</v>
      </c>
      <c r="T17" s="3">
        <v>0</v>
      </c>
      <c r="U17" s="3">
        <v>0</v>
      </c>
      <c r="V17" s="6">
        <v>-58631</v>
      </c>
    </row>
    <row r="18" spans="1:22" ht="54" customHeight="1" x14ac:dyDescent="0.6">
      <c r="A18" s="23"/>
      <c r="B18" s="41"/>
      <c r="C18" s="42"/>
      <c r="D18" s="10" t="s">
        <v>42</v>
      </c>
      <c r="E18" s="4">
        <v>69267</v>
      </c>
      <c r="F18" s="3">
        <v>0</v>
      </c>
      <c r="G18" s="3">
        <v>0</v>
      </c>
      <c r="H18" s="3">
        <v>0</v>
      </c>
      <c r="I18" s="3">
        <v>0</v>
      </c>
      <c r="J18" s="4">
        <v>69267</v>
      </c>
      <c r="K18" s="4">
        <v>214384</v>
      </c>
      <c r="L18" s="3">
        <v>0</v>
      </c>
      <c r="M18" s="3">
        <v>0</v>
      </c>
      <c r="N18" s="3">
        <v>0</v>
      </c>
      <c r="O18" s="3">
        <v>0</v>
      </c>
      <c r="P18" s="4">
        <v>214384</v>
      </c>
      <c r="Q18" s="4">
        <v>-122716</v>
      </c>
      <c r="R18" s="3">
        <v>0</v>
      </c>
      <c r="S18" s="3">
        <v>0</v>
      </c>
      <c r="T18" s="3">
        <v>0</v>
      </c>
      <c r="U18" s="3">
        <v>0</v>
      </c>
      <c r="V18" s="6">
        <v>-122716</v>
      </c>
    </row>
    <row r="19" spans="1:22" x14ac:dyDescent="0.6">
      <c r="A19" s="23"/>
      <c r="B19" s="41"/>
      <c r="C19" s="39" t="s">
        <v>43</v>
      </c>
      <c r="D19" s="18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5"/>
    </row>
    <row r="20" spans="1:22" x14ac:dyDescent="0.6">
      <c r="A20" s="23"/>
      <c r="B20" s="41"/>
      <c r="C20" s="40" t="s">
        <v>43</v>
      </c>
      <c r="D20" s="10" t="s">
        <v>44</v>
      </c>
      <c r="E20" s="4">
        <v>-729147</v>
      </c>
      <c r="F20" s="4">
        <v>63329</v>
      </c>
      <c r="G20" s="3">
        <v>0</v>
      </c>
      <c r="H20" s="3">
        <v>0</v>
      </c>
      <c r="I20" s="4">
        <v>676618</v>
      </c>
      <c r="J20" s="4">
        <v>10800</v>
      </c>
      <c r="K20" s="4">
        <v>-2452240</v>
      </c>
      <c r="L20" s="4">
        <v>205684</v>
      </c>
      <c r="M20" s="3">
        <v>0</v>
      </c>
      <c r="N20" s="3">
        <v>0</v>
      </c>
      <c r="O20" s="4">
        <v>2301353</v>
      </c>
      <c r="P20" s="4">
        <v>54797</v>
      </c>
      <c r="Q20" s="4">
        <v>-82056</v>
      </c>
      <c r="R20" s="4">
        <v>10442</v>
      </c>
      <c r="S20" s="3">
        <v>0</v>
      </c>
      <c r="T20" s="3">
        <v>0</v>
      </c>
      <c r="U20" s="4">
        <v>81501</v>
      </c>
      <c r="V20" s="6">
        <v>9887</v>
      </c>
    </row>
    <row r="21" spans="1:22" x14ac:dyDescent="0.6">
      <c r="A21" s="23"/>
      <c r="B21" s="41"/>
      <c r="C21" s="41"/>
      <c r="D21" s="10" t="s">
        <v>45</v>
      </c>
      <c r="E21" s="4">
        <v>741952</v>
      </c>
      <c r="F21" s="4">
        <v>58563</v>
      </c>
      <c r="G21" s="4">
        <v>-52714</v>
      </c>
      <c r="H21" s="4">
        <v>-398585</v>
      </c>
      <c r="I21" s="4">
        <v>-349216</v>
      </c>
      <c r="J21" s="3">
        <v>0</v>
      </c>
      <c r="K21" s="4">
        <v>875822</v>
      </c>
      <c r="L21" s="4">
        <v>27415</v>
      </c>
      <c r="M21" s="4">
        <v>-69199</v>
      </c>
      <c r="N21" s="4">
        <v>-231224</v>
      </c>
      <c r="O21" s="4">
        <v>-602814</v>
      </c>
      <c r="P21" s="3">
        <v>0</v>
      </c>
      <c r="Q21" s="4">
        <v>34540</v>
      </c>
      <c r="R21" s="4">
        <v>19483</v>
      </c>
      <c r="S21" s="4">
        <v>-11743</v>
      </c>
      <c r="T21" s="4">
        <v>-29087</v>
      </c>
      <c r="U21" s="4">
        <v>-13193</v>
      </c>
      <c r="V21" s="5">
        <v>0</v>
      </c>
    </row>
    <row r="22" spans="1:22" ht="54" customHeight="1" x14ac:dyDescent="0.6">
      <c r="A22" s="23"/>
      <c r="B22" s="41"/>
      <c r="C22" s="42"/>
      <c r="D22" s="10" t="s">
        <v>46</v>
      </c>
      <c r="E22" s="4">
        <v>2016</v>
      </c>
      <c r="F22" s="3">
        <v>0</v>
      </c>
      <c r="G22" s="3">
        <v>0</v>
      </c>
      <c r="H22" s="3">
        <v>0</v>
      </c>
      <c r="I22" s="3">
        <v>0</v>
      </c>
      <c r="J22" s="4">
        <v>2016</v>
      </c>
      <c r="K22" s="4">
        <v>-9649</v>
      </c>
      <c r="L22" s="3">
        <v>0</v>
      </c>
      <c r="M22" s="3">
        <v>0</v>
      </c>
      <c r="N22" s="3">
        <v>0</v>
      </c>
      <c r="O22" s="3">
        <v>0</v>
      </c>
      <c r="P22" s="4">
        <v>-9649</v>
      </c>
      <c r="Q22" s="4">
        <v>289721</v>
      </c>
      <c r="R22" s="3">
        <v>0</v>
      </c>
      <c r="S22" s="3">
        <v>0</v>
      </c>
      <c r="T22" s="3">
        <v>0</v>
      </c>
      <c r="U22" s="3">
        <v>0</v>
      </c>
      <c r="V22" s="6">
        <v>289721</v>
      </c>
    </row>
    <row r="23" spans="1:22" x14ac:dyDescent="0.6">
      <c r="A23" s="23"/>
      <c r="B23" s="42"/>
      <c r="C23" s="39" t="s">
        <v>47</v>
      </c>
      <c r="D23" s="18"/>
      <c r="E23" s="4">
        <v>17125</v>
      </c>
      <c r="F23" s="3">
        <v>-566</v>
      </c>
      <c r="G23" s="3">
        <v>0</v>
      </c>
      <c r="H23" s="3">
        <v>0</v>
      </c>
      <c r="I23" s="3">
        <v>0</v>
      </c>
      <c r="J23" s="4">
        <v>16559</v>
      </c>
      <c r="K23" s="4">
        <v>67068</v>
      </c>
      <c r="L23" s="4">
        <v>1928</v>
      </c>
      <c r="M23" s="3">
        <v>0</v>
      </c>
      <c r="N23" s="3">
        <v>0</v>
      </c>
      <c r="O23" s="3">
        <v>0</v>
      </c>
      <c r="P23" s="4">
        <v>68996</v>
      </c>
      <c r="Q23" s="4">
        <v>50913</v>
      </c>
      <c r="R23" s="3">
        <v>-139</v>
      </c>
      <c r="S23" s="3">
        <v>0</v>
      </c>
      <c r="T23" s="3">
        <v>0</v>
      </c>
      <c r="U23" s="3">
        <v>0</v>
      </c>
      <c r="V23" s="6">
        <v>50774</v>
      </c>
    </row>
    <row r="24" spans="1:22" x14ac:dyDescent="0.6">
      <c r="A24" s="22"/>
      <c r="B24" s="39" t="s">
        <v>48</v>
      </c>
      <c r="C24" s="38"/>
      <c r="D24" s="18"/>
      <c r="E24" s="4">
        <v>1326280</v>
      </c>
      <c r="F24" s="4">
        <v>77253</v>
      </c>
      <c r="G24" s="4">
        <v>12067</v>
      </c>
      <c r="H24" s="4">
        <v>44830</v>
      </c>
      <c r="I24" s="4">
        <v>126929</v>
      </c>
      <c r="J24" s="4">
        <v>1587359</v>
      </c>
      <c r="K24" s="4">
        <v>-707908</v>
      </c>
      <c r="L24" s="4">
        <v>71316</v>
      </c>
      <c r="M24" s="4">
        <v>17367</v>
      </c>
      <c r="N24" s="4">
        <v>99667</v>
      </c>
      <c r="O24" s="4">
        <v>157026</v>
      </c>
      <c r="P24" s="4">
        <v>-362532</v>
      </c>
      <c r="Q24" s="4">
        <v>2449247</v>
      </c>
      <c r="R24" s="4">
        <v>7028</v>
      </c>
      <c r="S24" s="4">
        <v>1931</v>
      </c>
      <c r="T24" s="4">
        <v>10293</v>
      </c>
      <c r="U24" s="4">
        <v>23643</v>
      </c>
      <c r="V24" s="6">
        <v>2492142</v>
      </c>
    </row>
    <row r="25" spans="1:22" x14ac:dyDescent="0.6">
      <c r="A25" s="17" t="s">
        <v>49</v>
      </c>
      <c r="B25" s="38"/>
      <c r="C25" s="38"/>
      <c r="D25" s="18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5"/>
    </row>
    <row r="26" spans="1:22" ht="54" customHeight="1" x14ac:dyDescent="0.6">
      <c r="A26" s="21" t="s">
        <v>49</v>
      </c>
      <c r="B26" s="39" t="s">
        <v>50</v>
      </c>
      <c r="C26" s="38"/>
      <c r="D26" s="18"/>
      <c r="E26" s="4">
        <v>8785967</v>
      </c>
      <c r="F26" s="3">
        <v>0</v>
      </c>
      <c r="G26" s="3">
        <v>0</v>
      </c>
      <c r="H26" s="3">
        <v>0</v>
      </c>
      <c r="I26" s="3">
        <v>0</v>
      </c>
      <c r="J26" s="4">
        <v>8785967</v>
      </c>
      <c r="K26" s="4">
        <v>6713856</v>
      </c>
      <c r="L26" s="3">
        <v>0</v>
      </c>
      <c r="M26" s="3">
        <v>0</v>
      </c>
      <c r="N26" s="3">
        <v>0</v>
      </c>
      <c r="O26" s="3">
        <v>0</v>
      </c>
      <c r="P26" s="4">
        <v>6713856</v>
      </c>
      <c r="Q26" s="4">
        <v>5399657</v>
      </c>
      <c r="R26" s="3">
        <v>0</v>
      </c>
      <c r="S26" s="3">
        <v>0</v>
      </c>
      <c r="T26" s="3">
        <v>0</v>
      </c>
      <c r="U26" s="3">
        <v>0</v>
      </c>
      <c r="V26" s="6">
        <v>5399657</v>
      </c>
    </row>
    <row r="27" spans="1:22" ht="54" customHeight="1" x14ac:dyDescent="0.6">
      <c r="A27" s="23"/>
      <c r="B27" s="39" t="s">
        <v>51</v>
      </c>
      <c r="C27" s="38"/>
      <c r="D27" s="18"/>
      <c r="E27" s="4">
        <v>-5324953</v>
      </c>
      <c r="F27" s="3">
        <v>0</v>
      </c>
      <c r="G27" s="3">
        <v>0</v>
      </c>
      <c r="H27" s="3">
        <v>0</v>
      </c>
      <c r="I27" s="3">
        <v>0</v>
      </c>
      <c r="J27" s="4">
        <v>-5324953</v>
      </c>
      <c r="K27" s="4">
        <v>-5447096</v>
      </c>
      <c r="L27" s="3">
        <v>0</v>
      </c>
      <c r="M27" s="3">
        <v>0</v>
      </c>
      <c r="N27" s="3">
        <v>0</v>
      </c>
      <c r="O27" s="3">
        <v>0</v>
      </c>
      <c r="P27" s="4">
        <v>-5447096</v>
      </c>
      <c r="Q27" s="4">
        <v>-10676143</v>
      </c>
      <c r="R27" s="3">
        <v>0</v>
      </c>
      <c r="S27" s="3">
        <v>0</v>
      </c>
      <c r="T27" s="3">
        <v>0</v>
      </c>
      <c r="U27" s="3">
        <v>0</v>
      </c>
      <c r="V27" s="6">
        <v>-10676143</v>
      </c>
    </row>
    <row r="28" spans="1:22" ht="54" customHeight="1" x14ac:dyDescent="0.6">
      <c r="A28" s="22"/>
      <c r="B28" s="39" t="s">
        <v>52</v>
      </c>
      <c r="C28" s="38"/>
      <c r="D28" s="18"/>
      <c r="E28" s="4">
        <v>-1182712</v>
      </c>
      <c r="F28" s="3">
        <v>0</v>
      </c>
      <c r="G28" s="3">
        <v>0</v>
      </c>
      <c r="H28" s="3">
        <v>0</v>
      </c>
      <c r="I28" s="3">
        <v>0</v>
      </c>
      <c r="J28" s="4">
        <v>-1182712</v>
      </c>
      <c r="K28" s="4">
        <v>-2029775</v>
      </c>
      <c r="L28" s="3">
        <v>0</v>
      </c>
      <c r="M28" s="3">
        <v>0</v>
      </c>
      <c r="N28" s="3">
        <v>0</v>
      </c>
      <c r="O28" s="3">
        <v>0</v>
      </c>
      <c r="P28" s="4">
        <v>-2029775</v>
      </c>
      <c r="Q28" s="4">
        <v>-95397</v>
      </c>
      <c r="R28" s="3">
        <v>0</v>
      </c>
      <c r="S28" s="3">
        <v>0</v>
      </c>
      <c r="T28" s="3">
        <v>0</v>
      </c>
      <c r="U28" s="3">
        <v>0</v>
      </c>
      <c r="V28" s="6">
        <v>-95397</v>
      </c>
    </row>
    <row r="29" spans="1:22" x14ac:dyDescent="0.6">
      <c r="A29" s="17" t="s">
        <v>53</v>
      </c>
      <c r="B29" s="38"/>
      <c r="C29" s="38"/>
      <c r="D29" s="18"/>
      <c r="E29" s="4">
        <v>38041641</v>
      </c>
      <c r="F29" s="4">
        <v>1079156</v>
      </c>
      <c r="G29" s="4">
        <v>332731</v>
      </c>
      <c r="H29" s="4">
        <v>990506</v>
      </c>
      <c r="I29" s="4">
        <v>2975156</v>
      </c>
      <c r="J29" s="4">
        <v>43419190</v>
      </c>
      <c r="K29" s="4">
        <v>29290768</v>
      </c>
      <c r="L29" s="4">
        <v>1466764</v>
      </c>
      <c r="M29" s="4">
        <v>733054</v>
      </c>
      <c r="N29" s="4">
        <v>2929857</v>
      </c>
      <c r="O29" s="4">
        <v>4287285</v>
      </c>
      <c r="P29" s="4">
        <v>38707728</v>
      </c>
      <c r="Q29" s="4">
        <v>117130855</v>
      </c>
      <c r="R29" s="4">
        <v>619289</v>
      </c>
      <c r="S29" s="4">
        <v>51300</v>
      </c>
      <c r="T29" s="4">
        <v>368974</v>
      </c>
      <c r="U29" s="4">
        <v>549011</v>
      </c>
      <c r="V29" s="6">
        <v>118719429</v>
      </c>
    </row>
    <row r="30" spans="1:22" x14ac:dyDescent="0.6">
      <c r="A30" s="17" t="s">
        <v>54</v>
      </c>
      <c r="B30" s="38"/>
      <c r="C30" s="38"/>
      <c r="D30" s="18"/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5">
        <v>0</v>
      </c>
    </row>
    <row r="31" spans="1:22" ht="40.5" customHeight="1" x14ac:dyDescent="0.6">
      <c r="A31" s="19" t="s">
        <v>55</v>
      </c>
      <c r="B31" s="43"/>
      <c r="C31" s="43"/>
      <c r="D31" s="20"/>
      <c r="E31" s="15">
        <v>38041641</v>
      </c>
      <c r="F31" s="15">
        <v>1079156</v>
      </c>
      <c r="G31" s="15">
        <v>332731</v>
      </c>
      <c r="H31" s="15">
        <v>990506</v>
      </c>
      <c r="I31" s="15">
        <v>2975156</v>
      </c>
      <c r="J31" s="15">
        <v>43419190</v>
      </c>
      <c r="K31" s="15">
        <v>29290768</v>
      </c>
      <c r="L31" s="15">
        <v>1466764</v>
      </c>
      <c r="M31" s="15">
        <v>733054</v>
      </c>
      <c r="N31" s="15">
        <v>2929857</v>
      </c>
      <c r="O31" s="15">
        <v>4287285</v>
      </c>
      <c r="P31" s="15">
        <v>38707728</v>
      </c>
      <c r="Q31" s="15">
        <v>117130855</v>
      </c>
      <c r="R31" s="15">
        <v>619289</v>
      </c>
      <c r="S31" s="15">
        <v>51300</v>
      </c>
      <c r="T31" s="15">
        <v>368974</v>
      </c>
      <c r="U31" s="15">
        <v>549011</v>
      </c>
      <c r="V31" s="16">
        <v>118719429</v>
      </c>
    </row>
  </sheetData>
  <mergeCells count="43">
    <mergeCell ref="A29:D29"/>
    <mergeCell ref="A30:D30"/>
    <mergeCell ref="A31:D31"/>
    <mergeCell ref="C23:D23"/>
    <mergeCell ref="B24:D24"/>
    <mergeCell ref="A25:D25"/>
    <mergeCell ref="A26:A28"/>
    <mergeCell ref="B26:D26"/>
    <mergeCell ref="B27:D27"/>
    <mergeCell ref="B28:D28"/>
    <mergeCell ref="P7:P9"/>
    <mergeCell ref="Q7:U7"/>
    <mergeCell ref="V7:V9"/>
    <mergeCell ref="E8:E9"/>
    <mergeCell ref="F8:F9"/>
    <mergeCell ref="G8:I8"/>
    <mergeCell ref="K8:K9"/>
    <mergeCell ref="L8:L9"/>
    <mergeCell ref="M8:O8"/>
    <mergeCell ref="Q8:Q9"/>
    <mergeCell ref="R8:R9"/>
    <mergeCell ref="S8:U8"/>
    <mergeCell ref="A1:B1"/>
    <mergeCell ref="A10:D10"/>
    <mergeCell ref="A11:D11"/>
    <mergeCell ref="A12:D12"/>
    <mergeCell ref="A13:D13"/>
    <mergeCell ref="A14:A24"/>
    <mergeCell ref="B14:D14"/>
    <mergeCell ref="B15:B23"/>
    <mergeCell ref="C15:D15"/>
    <mergeCell ref="C16:C18"/>
    <mergeCell ref="C19:D19"/>
    <mergeCell ref="C20:C22"/>
    <mergeCell ref="E3:V3"/>
    <mergeCell ref="E4:V4"/>
    <mergeCell ref="E5:V5"/>
    <mergeCell ref="E6:J6"/>
    <mergeCell ref="K6:P6"/>
    <mergeCell ref="Q6:V6"/>
    <mergeCell ref="E7:I7"/>
    <mergeCell ref="J7:J9"/>
    <mergeCell ref="K7:O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부문별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2026-06-01T13:19:41Z</dcterms:created>
  <dcterms:modified xsi:type="dcterms:W3CDTF">2026-06-02T12:31:32Z</dcterms:modified>
</cp:coreProperties>
</file>