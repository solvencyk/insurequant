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67F8A96E-0EE4-4F17-AAD3-14AE5817DB08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<sst xmlns="http://schemas.openxmlformats.org/spreadsheetml/2006/main" count="85" uniqueCount="63">
  <si>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</si>
  <si>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</si>
  <si>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</si>
  <si>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</si>
  <si>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</si>
  <si>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</si>
  <si>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</si>
  <si>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</si>
  <si>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</si>
  <si>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</si>
  <si>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</si>
  <si>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</si>
  <si>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</si>
  <si>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</si>
  <si>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생명보험</t>
    <phoneticPr fontId="2" type="noConversion"/>
  </si>
  <si>
    <t>금액</t>
    <phoneticPr fontId="2" type="noConversion"/>
  </si>
  <si>
    <t>(단위 : 백만원)</t>
  </si>
  <si>
    <t>그 밖의 모든 계약</t>
  </si>
  <si>
    <t>동양생명</t>
    <phoneticPr fontId="2" type="noConversion"/>
  </si>
  <si>
    <t>2025.2Q</t>
    <phoneticPr fontId="2" type="noConversion"/>
  </si>
  <si>
    <t>보험계약부채(자산)의 보험계약 구성요소별 변동분에 대한 차이조정 공시</t>
  </si>
  <si>
    <t>당반기</t>
  </si>
  <si>
    <t>보험계약의 세분</t>
  </si>
  <si>
    <t>발행한 보험계약</t>
  </si>
  <si>
    <t>보험계약</t>
  </si>
  <si>
    <t>보험료배분접근법을 적용한 보험계약 외의 보험계약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</si>
  <si>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</si>
  <si>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</si>
  <si>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</si>
  <si>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</si>
  <si>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전환일에 존재했던 계약 중 수정소급법을 적용한 계약의 보험계약마진</t>
  </si>
  <si>
    <t>전환일에 존재했던 계약 중 공정가치법을 적용한 계약의 보험계약마진</t>
  </si>
  <si>
    <t>자산인 보험계약의 기초 장부금액</t>
  </si>
  <si>
    <t>부채인 보험계약의 기초 장부금액</t>
  </si>
  <si>
    <t>기초 보험계약부채(자산) 또는 재보험계약자산(부채)</t>
  </si>
  <si>
    <t>구성요소별 차이조정을 위한 보험계약의 변동분 </t>
  </si>
  <si>
    <t>구성요소별 차이조정을 위한 보험서비스결과에 따른 증가분(감소분), 보험계약부채(자산) </t>
  </si>
  <si>
    <t>미래 서비스와 관련된 변동에 따른 증가분(감소분), 보험계약부채(자산) </t>
  </si>
  <si>
    <t>보험계약마진을 조정하는 추정치의 변동분에 따른 증가분(감소분), 보험계약부채(자산)</t>
  </si>
  <si>
    <t>보험계약마진을 조정하지 않는 추정치의 변동분에 따른 증가분(감소분), 보험계약부채(자산)</t>
  </si>
  <si>
    <t>해당 기간에 처음 인식한 계약의 영향에 따른 증가분(감소분), 보험계약부채(자산)</t>
  </si>
  <si>
    <t>미래 서비스와 관련된 변동분에 따른 총 증가분(감소분), 보험계약부채(자산)</t>
  </si>
  <si>
    <t>당기 서비스와 관련된 변동분에 따른 증가분(감소분), 보험계약부채(자산) </t>
  </si>
  <si>
    <t>서비스 이전을 반영하기 위해 당기손익으로 인식한 보험계약마진 금액에 따른 증가분(감소분), 보험계약부채(자산)</t>
  </si>
  <si>
    <t>미래 또는 과거 서비스와 관련 없는 비금융위험에 대한 위험조정의 변동에 따른 증가분(감소분), 보험계약부채(자산)</t>
  </si>
  <si>
    <t>경험조정에 따른 증가분(감소분), 보험계약부채(자산)</t>
  </si>
  <si>
    <t>현행 서비스와 관련된 변동에 따른 총 증가분(감소분), 보험계약부채(자산)</t>
  </si>
  <si>
    <t>과거 서비스와 관련된 변동분에 따른 증가분(감소분), 보험계약부채(자산)</t>
  </si>
  <si>
    <t>보험서비스결과에 따른 총 증가분(감소분), 보험계약부채(자산)</t>
  </si>
  <si>
    <t>보험금융수익(비용)에 따른 증가분(감소분), 보험계약부채(자산) </t>
  </si>
  <si>
    <t>당기손익으로 인식한 발행한 보험계약의 보험금융수익(비용)</t>
  </si>
  <si>
    <t>세전기타포괄손익, 당기손익에서 제외되나 당기손익으로 재분류될 발행한 보험계약의 보험금융수익(비용)</t>
  </si>
  <si>
    <t>보험금융수익(비용)에 따른 총 증가분(감소분), 보험계약부채(자산)</t>
  </si>
  <si>
    <t>현금흐름에 따른 증가분(감소분), 보험계약부채(자산) </t>
  </si>
  <si>
    <t>발행한 보험계약에 대해 수취한 보험료에 따른 증가분(감소분), 보험계약부채(자산)</t>
  </si>
  <si>
    <t>보험취득 현금흐름에 따른 증가분(감소분), 보험계약부채(자산)</t>
  </si>
  <si>
    <t>보험취득 현금흐름을 제외하고 발행한 보험계약에 대해 지급한 보험금과 그 밖의 보험서비스비용에 따른 증가분(감소분), 보험계약부채(자산)</t>
  </si>
  <si>
    <t>투자요소 수취(지급) 및 보험료 환급액</t>
  </si>
  <si>
    <t>현금흐름에 따른 총 증가분(감소분), 보험계약부채(자산)</t>
  </si>
  <si>
    <t>보험계약의 순장부금액 변동을 이해하는 데 필요한 추가 항목에 따른 증가분(감소분), 보험계약부채(자산)</t>
  </si>
  <si>
    <t>자산인 보험계약의 기말 장부금액</t>
  </si>
  <si>
    <t>부채인 보험계약의 기말 장부금액</t>
  </si>
  <si>
    <t>기말 보험계약부채(자산) 또는 재보험계약자산(부채)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</si>
</sst>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25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</row>
    <row r="2" spans="1:12" x14ac:dyDescent="0.6">
      <c r="A2" s="2"/>
      <c r="B2" s="2" t="s">
        <v>18</v>
      </c>
      <c r="C2" s="2"/>
      <c r="D2" s="2" t="s">
        <v>14</v>
      </c>
      <c r="E2" s="2">
        <v>1</v>
      </c>
      <c r="F2" s="2" t="s">
        <v>7</v>
      </c>
      <c r="G2" s="2" t="s">
        <v>19</v>
      </c>
      <c r="H2" s="1">
        <f>SUM(부문별!G13:I13)</f>
        <v>2671089</v>
      </c>
      <c r="L2" s="1"/>
    </row>
    <row r="3" spans="1:12" x14ac:dyDescent="0.6">
      <c r="A3" s="2"/>
      <c r="B3" s="2" t="s">
        <v>18</v>
      </c>
      <c r="C3" s="2"/>
      <c r="D3" s="2" t="s">
        <v>14</v>
      </c>
      <c r="E3" s="2">
        <v>2</v>
      </c>
      <c r="F3" s="2" t="s">
        <v>8</v>
      </c>
      <c r="G3" s="2" t="s">
        <v>19</v>
      </c>
      <c r="H3" s="1">
        <f>SUM(부문별!G19:I19)</f>
        <v>302886</v>
      </c>
    </row>
    <row r="4" spans="1:12" x14ac:dyDescent="0.6">
      <c r="A4" s="2"/>
      <c r="B4" s="2" t="s">
        <v>18</v>
      </c>
      <c r="C4" s="2"/>
      <c r="D4" s="2" t="s">
        <v>14</v>
      </c>
      <c r="E4">
        <v>3</v>
      </c>
      <c r="F4" s="2" t="s">
        <v>9</v>
      </c>
      <c r="G4" t="s">
        <v>19</v>
      </c>
      <c r="H4" s="1">
        <f>SUM(부문별!G31:I31)</f>
        <v>54994</v>
      </c>
    </row>
    <row r="5" spans="1:12" x14ac:dyDescent="0.6">
      <c r="A5" s="2"/>
      <c r="B5" s="2" t="s">
        <v>18</v>
      </c>
      <c r="C5" s="2"/>
      <c r="D5" s="2" t="s">
        <v>14</v>
      </c>
      <c r="E5" s="2">
        <v>4</v>
      </c>
      <c r="F5" s="2" t="s">
        <v>13</v>
      </c>
      <c r="G5" t="s">
        <v>19</v>
      </c>
      <c r="H5" s="1">
        <f>H7-H6-H4-H3-H2</f>
        <v>-158670</v>
      </c>
    </row>
    <row r="6" spans="1:12" x14ac:dyDescent="0.6">
      <c r="A6" s="2"/>
      <c r="B6" s="2" t="s">
        <v>18</v>
      </c>
      <c r="C6" s="2"/>
      <c r="D6" s="2" t="s">
        <v>14</v>
      </c>
      <c r="E6" s="2">
        <v>5</v>
      </c>
      <c r="F6" s="2" t="s">
        <v>10</v>
      </c>
      <c r="G6" t="s">
        <v>19</v>
      </c>
      <c r="H6" s="1">
        <f>SUM(부문별!G22:I22)</f>
        <v>-126064</v>
      </c>
    </row>
    <row r="7" spans="1:12" x14ac:dyDescent="0.6">
      <c r="A7" s="2"/>
      <c r="B7" s="2" t="s">
        <v>18</v>
      </c>
      <c r="C7" s="2"/>
      <c r="D7" s="2" t="s">
        <v>14</v>
      </c>
      <c r="E7" s="2">
        <v>6</v>
      </c>
      <c r="F7" s="2" t="s">
        <v>11</v>
      </c>
      <c r="G7" t="s">
        <v>19</v>
      </c>
      <c r="H7" s="1">
        <f>SUM(부문별!G41:I41)</f>
        <v>2744235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J42"/>
  <sheetViews>
    <sheetView topLeftCell="A34" zoomScale="85" zoomScaleNormal="85" workbookViewId="0">
      <selection activeCell="I13" sqref="G13:I13"/>
    </sheetView>
  </sheetViews>
  <sheetFormatPr defaultRowHeight="16.899999999999999" x14ac:dyDescent="0.6"/>
  <cols>
    <col min="5" max="5" width="11" bestFit="1" customWidth="1"/>
    <col min="6" max="8" width="8.1875" bestFit="1" customWidth="1"/>
    <col min="9" max="9" width="9.8125" bestFit="1" customWidth="1"/>
    <col min="10" max="10" width="11" bestFit="1" customWidth="1"/>
  </cols>
  <sheetData>
    <row r="1" spans="1:10" ht="67.5" customHeight="1" x14ac:dyDescent="0.6">
      <c r="A1" s="3" t="s">
        <v>20</v>
      </c>
    </row>
    <row r="2" spans="1:10" ht="54" customHeight="1" x14ac:dyDescent="0.6">
      <c r="A2" s="5" t="s">
        <v>20</v>
      </c>
      <c r="B2" s="5"/>
    </row>
    <row r="3" spans="1:10" ht="27" x14ac:dyDescent="0.6">
      <c r="A3" s="3" t="s">
        <v>21</v>
      </c>
      <c r="B3" s="4" t="s">
        <v>16</v>
      </c>
    </row>
    <row r="4" spans="1:10" ht="67.5" customHeight="1" x14ac:dyDescent="0.6">
      <c r="A4" s="10"/>
      <c r="B4" s="11"/>
      <c r="C4" s="11"/>
      <c r="D4" s="11"/>
      <c r="E4" s="18" t="s">
        <v>22</v>
      </c>
      <c r="F4" s="19"/>
      <c r="G4" s="19"/>
      <c r="H4" s="19"/>
      <c r="I4" s="19"/>
      <c r="J4" s="20"/>
    </row>
    <row r="5" spans="1:10" x14ac:dyDescent="0.6">
      <c r="A5" s="12"/>
      <c r="B5" s="6"/>
      <c r="C5" s="6"/>
      <c r="D5" s="6"/>
      <c r="E5" s="21" t="s">
        <v>23</v>
      </c>
      <c r="F5" s="22"/>
      <c r="G5" s="22"/>
      <c r="H5" s="22"/>
      <c r="I5" s="22"/>
      <c r="J5" s="23"/>
    </row>
    <row r="6" spans="1:10" ht="27" customHeight="1" x14ac:dyDescent="0.6">
      <c r="A6" s="12"/>
      <c r="B6" s="6"/>
      <c r="C6" s="6"/>
      <c r="D6" s="6"/>
      <c r="E6" s="21" t="s">
        <v>24</v>
      </c>
      <c r="F6" s="22"/>
      <c r="G6" s="22"/>
      <c r="H6" s="22"/>
      <c r="I6" s="22"/>
      <c r="J6" s="23"/>
    </row>
    <row r="7" spans="1:10" ht="16.899999999999999" customHeight="1" x14ac:dyDescent="0.6">
      <c r="A7" s="12"/>
      <c r="B7" s="6"/>
      <c r="C7" s="6"/>
      <c r="D7" s="6"/>
      <c r="E7" s="21" t="s">
        <v>25</v>
      </c>
      <c r="F7" s="22"/>
      <c r="G7" s="22"/>
      <c r="H7" s="22"/>
      <c r="I7" s="22"/>
      <c r="J7" s="23"/>
    </row>
    <row r="8" spans="1:10" x14ac:dyDescent="0.6">
      <c r="A8" s="12"/>
      <c r="B8" s="6"/>
      <c r="C8" s="6"/>
      <c r="D8" s="6"/>
      <c r="E8" s="21" t="s">
        <v>26</v>
      </c>
      <c r="F8" s="22"/>
      <c r="G8" s="22"/>
      <c r="H8" s="22"/>
      <c r="I8" s="24"/>
      <c r="J8" s="25" t="s">
        <v>27</v>
      </c>
    </row>
    <row r="9" spans="1:10" ht="27" customHeight="1" x14ac:dyDescent="0.6">
      <c r="A9" s="12"/>
      <c r="B9" s="6"/>
      <c r="C9" s="6"/>
      <c r="D9" s="6"/>
      <c r="E9" s="28" t="s">
        <v>28</v>
      </c>
      <c r="F9" s="28" t="s">
        <v>29</v>
      </c>
      <c r="G9" s="21" t="s">
        <v>12</v>
      </c>
      <c r="H9" s="22"/>
      <c r="I9" s="24"/>
      <c r="J9" s="26"/>
    </row>
    <row r="10" spans="1:10" ht="27" customHeight="1" x14ac:dyDescent="0.6">
      <c r="A10" s="12"/>
      <c r="B10" s="6"/>
      <c r="C10" s="6"/>
      <c r="D10" s="6"/>
      <c r="E10" s="29"/>
      <c r="F10" s="29"/>
      <c r="G10" s="6" t="s">
        <v>30</v>
      </c>
      <c r="H10" s="6" t="s">
        <v>31</v>
      </c>
      <c r="I10" s="6" t="s">
        <v>17</v>
      </c>
      <c r="J10" s="27"/>
    </row>
    <row r="11" spans="1:10" ht="27" customHeight="1" x14ac:dyDescent="0.6">
      <c r="A11" s="30" t="s">
        <v>32</v>
      </c>
      <c r="B11" s="31"/>
      <c r="C11" s="31"/>
      <c r="D11" s="32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13">
        <v>0</v>
      </c>
    </row>
    <row r="12" spans="1:10" ht="27" customHeight="1" x14ac:dyDescent="0.6">
      <c r="A12" s="30" t="s">
        <v>33</v>
      </c>
      <c r="B12" s="31"/>
      <c r="C12" s="31"/>
      <c r="D12" s="32"/>
      <c r="E12" s="8">
        <v>25078965</v>
      </c>
      <c r="F12" s="8">
        <v>471402</v>
      </c>
      <c r="G12" s="8">
        <v>876458</v>
      </c>
      <c r="H12" s="8">
        <v>388482</v>
      </c>
      <c r="I12" s="8">
        <v>1406149</v>
      </c>
      <c r="J12" s="14">
        <v>28221456</v>
      </c>
    </row>
    <row r="13" spans="1:10" ht="27" customHeight="1" x14ac:dyDescent="0.6">
      <c r="A13" s="30" t="s">
        <v>34</v>
      </c>
      <c r="B13" s="31"/>
      <c r="C13" s="31"/>
      <c r="D13" s="32"/>
      <c r="E13" s="8">
        <v>25078965</v>
      </c>
      <c r="F13" s="8">
        <v>471402</v>
      </c>
      <c r="G13" s="8">
        <v>876458</v>
      </c>
      <c r="H13" s="8">
        <v>388482</v>
      </c>
      <c r="I13" s="8">
        <v>1406149</v>
      </c>
      <c r="J13" s="14">
        <v>28221456</v>
      </c>
    </row>
    <row r="14" spans="1:10" ht="54" customHeight="1" x14ac:dyDescent="0.6">
      <c r="A14" s="30" t="s">
        <v>35</v>
      </c>
      <c r="B14" s="31"/>
      <c r="C14" s="31"/>
      <c r="D14" s="32"/>
      <c r="E14" s="9"/>
      <c r="F14" s="9"/>
      <c r="G14" s="9"/>
      <c r="H14" s="9"/>
      <c r="I14" s="9"/>
      <c r="J14" s="15"/>
    </row>
    <row r="15" spans="1:10" ht="40.5" customHeight="1" x14ac:dyDescent="0.6">
      <c r="A15" s="33" t="s">
        <v>35</v>
      </c>
      <c r="B15" s="36" t="s">
        <v>36</v>
      </c>
      <c r="C15" s="31"/>
      <c r="D15" s="32"/>
      <c r="E15" s="9"/>
      <c r="F15" s="9"/>
      <c r="G15" s="9"/>
      <c r="H15" s="9"/>
      <c r="I15" s="9"/>
      <c r="J15" s="15"/>
    </row>
    <row r="16" spans="1:10" ht="54" customHeight="1" x14ac:dyDescent="0.6">
      <c r="A16" s="34"/>
      <c r="B16" s="37" t="s">
        <v>36</v>
      </c>
      <c r="C16" s="36" t="s">
        <v>37</v>
      </c>
      <c r="D16" s="32"/>
      <c r="E16" s="9"/>
      <c r="F16" s="9"/>
      <c r="G16" s="9"/>
      <c r="H16" s="9"/>
      <c r="I16" s="9"/>
      <c r="J16" s="15"/>
    </row>
    <row r="17" spans="1:10" ht="54" customHeight="1" x14ac:dyDescent="0.6">
      <c r="A17" s="34"/>
      <c r="B17" s="38"/>
      <c r="C17" s="37" t="s">
        <v>37</v>
      </c>
      <c r="D17" s="9" t="s">
        <v>38</v>
      </c>
      <c r="E17" s="8">
        <v>173485</v>
      </c>
      <c r="F17" s="8">
        <v>-14815</v>
      </c>
      <c r="G17" s="8">
        <v>-49221</v>
      </c>
      <c r="H17" s="8">
        <v>13321</v>
      </c>
      <c r="I17" s="8">
        <v>-122770</v>
      </c>
      <c r="J17" s="13">
        <v>0</v>
      </c>
    </row>
    <row r="18" spans="1:10" ht="54" customHeight="1" x14ac:dyDescent="0.6">
      <c r="A18" s="34"/>
      <c r="B18" s="38"/>
      <c r="C18" s="38"/>
      <c r="D18" s="9" t="s">
        <v>39</v>
      </c>
      <c r="E18" s="8">
        <v>20106</v>
      </c>
      <c r="F18" s="8">
        <v>21247</v>
      </c>
      <c r="G18" s="7">
        <v>0</v>
      </c>
      <c r="H18" s="7">
        <v>0</v>
      </c>
      <c r="I18" s="7">
        <v>0</v>
      </c>
      <c r="J18" s="14">
        <v>41353</v>
      </c>
    </row>
    <row r="19" spans="1:10" ht="54" customHeight="1" x14ac:dyDescent="0.6">
      <c r="A19" s="34"/>
      <c r="B19" s="38"/>
      <c r="C19" s="38"/>
      <c r="D19" s="9" t="s">
        <v>40</v>
      </c>
      <c r="E19" s="8">
        <v>-330135</v>
      </c>
      <c r="F19" s="8">
        <v>31031</v>
      </c>
      <c r="G19" s="7">
        <v>0</v>
      </c>
      <c r="H19" s="7">
        <v>0</v>
      </c>
      <c r="I19" s="8">
        <v>302886</v>
      </c>
      <c r="J19" s="14">
        <v>3782</v>
      </c>
    </row>
    <row r="20" spans="1:10" ht="54" customHeight="1" x14ac:dyDescent="0.6">
      <c r="A20" s="34"/>
      <c r="B20" s="38"/>
      <c r="C20" s="39"/>
      <c r="D20" s="9" t="s">
        <v>41</v>
      </c>
      <c r="E20" s="8">
        <v>-136544</v>
      </c>
      <c r="F20" s="8">
        <v>37463</v>
      </c>
      <c r="G20" s="8">
        <v>-49221</v>
      </c>
      <c r="H20" s="8">
        <v>13321</v>
      </c>
      <c r="I20" s="8">
        <v>180116</v>
      </c>
      <c r="J20" s="14">
        <v>45135</v>
      </c>
    </row>
    <row r="21" spans="1:10" ht="54" customHeight="1" x14ac:dyDescent="0.6">
      <c r="A21" s="34"/>
      <c r="B21" s="38"/>
      <c r="C21" s="36" t="s">
        <v>42</v>
      </c>
      <c r="D21" s="32"/>
      <c r="E21" s="9"/>
      <c r="F21" s="9"/>
      <c r="G21" s="9"/>
      <c r="H21" s="9"/>
      <c r="I21" s="9"/>
      <c r="J21" s="15"/>
    </row>
    <row r="22" spans="1:10" ht="27" customHeight="1" x14ac:dyDescent="0.6">
      <c r="A22" s="34"/>
      <c r="B22" s="38"/>
      <c r="C22" s="37" t="s">
        <v>42</v>
      </c>
      <c r="D22" s="9" t="s">
        <v>43</v>
      </c>
      <c r="E22" s="7">
        <v>0</v>
      </c>
      <c r="F22" s="7">
        <v>0</v>
      </c>
      <c r="G22" s="8">
        <v>-36180</v>
      </c>
      <c r="H22" s="8">
        <v>-21546</v>
      </c>
      <c r="I22" s="8">
        <v>-68338</v>
      </c>
      <c r="J22" s="14">
        <v>-126064</v>
      </c>
    </row>
    <row r="23" spans="1:10" ht="162" x14ac:dyDescent="0.6">
      <c r="A23" s="34"/>
      <c r="B23" s="38"/>
      <c r="C23" s="38"/>
      <c r="D23" s="9" t="s">
        <v>44</v>
      </c>
      <c r="E23" s="7">
        <v>0</v>
      </c>
      <c r="F23" s="8">
        <v>-22144</v>
      </c>
      <c r="G23" s="7">
        <v>0</v>
      </c>
      <c r="H23" s="7">
        <v>0</v>
      </c>
      <c r="I23" s="7">
        <v>0</v>
      </c>
      <c r="J23" s="14">
        <v>-22144</v>
      </c>
    </row>
    <row r="24" spans="1:10" ht="54" customHeight="1" x14ac:dyDescent="0.6">
      <c r="A24" s="34"/>
      <c r="B24" s="38"/>
      <c r="C24" s="38"/>
      <c r="D24" s="9" t="s">
        <v>45</v>
      </c>
      <c r="E24" s="8">
        <v>14455</v>
      </c>
      <c r="F24" s="7">
        <v>0</v>
      </c>
      <c r="G24" s="7">
        <v>0</v>
      </c>
      <c r="H24" s="7">
        <v>0</v>
      </c>
      <c r="I24" s="7">
        <v>0</v>
      </c>
      <c r="J24" s="14">
        <v>14455</v>
      </c>
    </row>
    <row r="25" spans="1:10" ht="54" customHeight="1" x14ac:dyDescent="0.6">
      <c r="A25" s="34"/>
      <c r="B25" s="38"/>
      <c r="C25" s="39"/>
      <c r="D25" s="9" t="s">
        <v>46</v>
      </c>
      <c r="E25" s="8">
        <v>14455</v>
      </c>
      <c r="F25" s="8">
        <v>-22144</v>
      </c>
      <c r="G25" s="8">
        <v>-36180</v>
      </c>
      <c r="H25" s="8">
        <v>-21546</v>
      </c>
      <c r="I25" s="8">
        <v>-68338</v>
      </c>
      <c r="J25" s="14">
        <v>-133753</v>
      </c>
    </row>
    <row r="26" spans="1:10" ht="54" customHeight="1" x14ac:dyDescent="0.6">
      <c r="A26" s="34"/>
      <c r="B26" s="38"/>
      <c r="C26" s="36" t="s">
        <v>47</v>
      </c>
      <c r="D26" s="32"/>
      <c r="E26" s="8">
        <v>10891</v>
      </c>
      <c r="F26" s="7">
        <v>473</v>
      </c>
      <c r="G26" s="7">
        <v>0</v>
      </c>
      <c r="H26" s="7">
        <v>0</v>
      </c>
      <c r="I26" s="7">
        <v>0</v>
      </c>
      <c r="J26" s="14">
        <v>11364</v>
      </c>
    </row>
    <row r="27" spans="1:10" ht="54" customHeight="1" x14ac:dyDescent="0.6">
      <c r="A27" s="34"/>
      <c r="B27" s="39"/>
      <c r="C27" s="36" t="s">
        <v>48</v>
      </c>
      <c r="D27" s="32"/>
      <c r="E27" s="8">
        <v>-111198</v>
      </c>
      <c r="F27" s="8">
        <v>15792</v>
      </c>
      <c r="G27" s="8">
        <v>-85401</v>
      </c>
      <c r="H27" s="8">
        <v>-8225</v>
      </c>
      <c r="I27" s="8">
        <v>111778</v>
      </c>
      <c r="J27" s="14">
        <v>-77254</v>
      </c>
    </row>
    <row r="28" spans="1:10" ht="40.5" customHeight="1" x14ac:dyDescent="0.6">
      <c r="A28" s="34"/>
      <c r="B28" s="36" t="s">
        <v>49</v>
      </c>
      <c r="C28" s="31"/>
      <c r="D28" s="32"/>
      <c r="E28" s="9"/>
      <c r="F28" s="9"/>
      <c r="G28" s="9"/>
      <c r="H28" s="9"/>
      <c r="I28" s="9"/>
      <c r="J28" s="15"/>
    </row>
    <row r="29" spans="1:10" ht="54" customHeight="1" x14ac:dyDescent="0.6">
      <c r="A29" s="34"/>
      <c r="B29" s="37" t="s">
        <v>49</v>
      </c>
      <c r="C29" s="36" t="s">
        <v>50</v>
      </c>
      <c r="D29" s="32"/>
      <c r="E29" s="8">
        <v>578366</v>
      </c>
      <c r="F29" s="8">
        <v>8462</v>
      </c>
      <c r="G29" s="8">
        <v>16242</v>
      </c>
      <c r="H29" s="8">
        <v>6178</v>
      </c>
      <c r="I29" s="8">
        <v>32574</v>
      </c>
      <c r="J29" s="14">
        <v>641822</v>
      </c>
    </row>
    <row r="30" spans="1:10" ht="81" customHeight="1" x14ac:dyDescent="0.6">
      <c r="A30" s="34"/>
      <c r="B30" s="38"/>
      <c r="C30" s="36" t="s">
        <v>51</v>
      </c>
      <c r="D30" s="32"/>
      <c r="E30" s="8">
        <v>589147</v>
      </c>
      <c r="F30" s="8">
        <v>-1053</v>
      </c>
      <c r="G30" s="7">
        <v>0</v>
      </c>
      <c r="H30" s="7">
        <v>0</v>
      </c>
      <c r="I30" s="7">
        <v>0</v>
      </c>
      <c r="J30" s="14">
        <v>588094</v>
      </c>
    </row>
    <row r="31" spans="1:10" ht="54" customHeight="1" x14ac:dyDescent="0.6">
      <c r="A31" s="34"/>
      <c r="B31" s="39"/>
      <c r="C31" s="36" t="s">
        <v>52</v>
      </c>
      <c r="D31" s="32"/>
      <c r="E31" s="8">
        <v>1167513</v>
      </c>
      <c r="F31" s="8">
        <v>7409</v>
      </c>
      <c r="G31" s="8">
        <v>16242</v>
      </c>
      <c r="H31" s="8">
        <v>6178</v>
      </c>
      <c r="I31" s="8">
        <v>32574</v>
      </c>
      <c r="J31" s="14">
        <v>1229916</v>
      </c>
    </row>
    <row r="32" spans="1:10" ht="27" customHeight="1" x14ac:dyDescent="0.6">
      <c r="A32" s="34"/>
      <c r="B32" s="36" t="s">
        <v>53</v>
      </c>
      <c r="C32" s="31"/>
      <c r="D32" s="32"/>
      <c r="E32" s="9"/>
      <c r="F32" s="9"/>
      <c r="G32" s="9"/>
      <c r="H32" s="9"/>
      <c r="I32" s="9"/>
      <c r="J32" s="15"/>
    </row>
    <row r="33" spans="1:10" ht="67.5" customHeight="1" x14ac:dyDescent="0.6">
      <c r="A33" s="34"/>
      <c r="B33" s="37" t="s">
        <v>53</v>
      </c>
      <c r="C33" s="36" t="s">
        <v>54</v>
      </c>
      <c r="D33" s="32"/>
      <c r="E33" s="8">
        <v>1867327</v>
      </c>
      <c r="F33" s="7">
        <v>0</v>
      </c>
      <c r="G33" s="7">
        <v>0</v>
      </c>
      <c r="H33" s="7">
        <v>0</v>
      </c>
      <c r="I33" s="7">
        <v>0</v>
      </c>
      <c r="J33" s="14">
        <v>1867327</v>
      </c>
    </row>
    <row r="34" spans="1:10" ht="40.5" customHeight="1" x14ac:dyDescent="0.6">
      <c r="A34" s="34"/>
      <c r="B34" s="38"/>
      <c r="C34" s="36" t="s">
        <v>55</v>
      </c>
      <c r="D34" s="32"/>
      <c r="E34" s="8">
        <v>-351722</v>
      </c>
      <c r="F34" s="7">
        <v>0</v>
      </c>
      <c r="G34" s="7">
        <v>0</v>
      </c>
      <c r="H34" s="7">
        <v>0</v>
      </c>
      <c r="I34" s="7">
        <v>0</v>
      </c>
      <c r="J34" s="14">
        <v>-351722</v>
      </c>
    </row>
    <row r="35" spans="1:10" ht="94.5" customHeight="1" x14ac:dyDescent="0.6">
      <c r="A35" s="34"/>
      <c r="B35" s="38"/>
      <c r="C35" s="36" t="s">
        <v>56</v>
      </c>
      <c r="D35" s="32"/>
      <c r="E35" s="8">
        <v>-401075</v>
      </c>
      <c r="F35" s="7">
        <v>0</v>
      </c>
      <c r="G35" s="7">
        <v>0</v>
      </c>
      <c r="H35" s="7">
        <v>0</v>
      </c>
      <c r="I35" s="7">
        <v>0</v>
      </c>
      <c r="J35" s="14">
        <v>-401075</v>
      </c>
    </row>
    <row r="36" spans="1:10" ht="27" customHeight="1" x14ac:dyDescent="0.6">
      <c r="A36" s="34"/>
      <c r="B36" s="38"/>
      <c r="C36" s="36" t="s">
        <v>57</v>
      </c>
      <c r="D36" s="32"/>
      <c r="E36" s="8">
        <v>-1305491</v>
      </c>
      <c r="F36" s="7">
        <v>0</v>
      </c>
      <c r="G36" s="7">
        <v>0</v>
      </c>
      <c r="H36" s="7">
        <v>0</v>
      </c>
      <c r="I36" s="7">
        <v>0</v>
      </c>
      <c r="J36" s="14">
        <v>-1305491</v>
      </c>
    </row>
    <row r="37" spans="1:10" ht="40.5" customHeight="1" x14ac:dyDescent="0.6">
      <c r="A37" s="34"/>
      <c r="B37" s="39"/>
      <c r="C37" s="36" t="s">
        <v>58</v>
      </c>
      <c r="D37" s="32"/>
      <c r="E37" s="8">
        <v>-190961</v>
      </c>
      <c r="F37" s="7">
        <v>0</v>
      </c>
      <c r="G37" s="7">
        <v>0</v>
      </c>
      <c r="H37" s="7">
        <v>0</v>
      </c>
      <c r="I37" s="7">
        <v>0</v>
      </c>
      <c r="J37" s="14">
        <v>-190961</v>
      </c>
    </row>
    <row r="38" spans="1:10" ht="54" customHeight="1" x14ac:dyDescent="0.6">
      <c r="A38" s="35"/>
      <c r="B38" s="36" t="s">
        <v>59</v>
      </c>
      <c r="C38" s="31"/>
      <c r="D38" s="32"/>
      <c r="E38" s="8">
        <v>-16541</v>
      </c>
      <c r="F38" s="7">
        <v>0</v>
      </c>
      <c r="G38" s="7">
        <v>0</v>
      </c>
      <c r="H38" s="7">
        <v>0</v>
      </c>
      <c r="I38" s="7">
        <v>0</v>
      </c>
      <c r="J38" s="14">
        <v>-16541</v>
      </c>
    </row>
    <row r="39" spans="1:10" x14ac:dyDescent="0.6">
      <c r="A39" s="30" t="s">
        <v>60</v>
      </c>
      <c r="B39" s="31"/>
      <c r="C39" s="31"/>
      <c r="D39" s="32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13">
        <v>0</v>
      </c>
    </row>
    <row r="40" spans="1:10" x14ac:dyDescent="0.6">
      <c r="A40" s="30" t="s">
        <v>61</v>
      </c>
      <c r="B40" s="31"/>
      <c r="C40" s="31"/>
      <c r="D40" s="32"/>
      <c r="E40" s="8">
        <v>25927778</v>
      </c>
      <c r="F40" s="8">
        <v>494603</v>
      </c>
      <c r="G40" s="8">
        <v>807299</v>
      </c>
      <c r="H40" s="8">
        <v>386435</v>
      </c>
      <c r="I40" s="8">
        <v>1550501</v>
      </c>
      <c r="J40" s="14">
        <v>29166616</v>
      </c>
    </row>
    <row r="41" spans="1:10" ht="27" customHeight="1" x14ac:dyDescent="0.6">
      <c r="A41" s="40" t="s">
        <v>62</v>
      </c>
      <c r="B41" s="41"/>
      <c r="C41" s="41"/>
      <c r="D41" s="42"/>
      <c r="E41" s="16">
        <v>25927778</v>
      </c>
      <c r="F41" s="16">
        <v>494603</v>
      </c>
      <c r="G41" s="16">
        <v>807299</v>
      </c>
      <c r="H41" s="16">
        <v>386435</v>
      </c>
      <c r="I41" s="16">
        <v>1550501</v>
      </c>
      <c r="J41" s="17">
        <v>29166616</v>
      </c>
    </row>
    <row r="42" spans="1:10" x14ac:dyDescent="0.6">
      <c r="A42" s="3"/>
    </row>
  </sheetData>
  <mergeCells count="39">
    <mergeCell ref="B38:D38"/>
    <mergeCell ref="A39:D39"/>
    <mergeCell ref="A40:D40"/>
    <mergeCell ref="A41:D41"/>
    <mergeCell ref="C30:D30"/>
    <mergeCell ref="C31:D31"/>
    <mergeCell ref="B32:D32"/>
    <mergeCell ref="B33:B37"/>
    <mergeCell ref="C33:D33"/>
    <mergeCell ref="C34:D34"/>
    <mergeCell ref="C35:D35"/>
    <mergeCell ref="C36:D36"/>
    <mergeCell ref="C37:D37"/>
    <mergeCell ref="A11:D11"/>
    <mergeCell ref="A12:D12"/>
    <mergeCell ref="A13:D13"/>
    <mergeCell ref="A14:D14"/>
    <mergeCell ref="A15:A38"/>
    <mergeCell ref="B15:D15"/>
    <mergeCell ref="B16:B27"/>
    <mergeCell ref="C16:D16"/>
    <mergeCell ref="C17:C20"/>
    <mergeCell ref="C21:D21"/>
    <mergeCell ref="C22:C25"/>
    <mergeCell ref="C26:D26"/>
    <mergeCell ref="C27:D27"/>
    <mergeCell ref="B28:D28"/>
    <mergeCell ref="B29:B31"/>
    <mergeCell ref="C29:D29"/>
    <mergeCell ref="E8:I8"/>
    <mergeCell ref="J8:J10"/>
    <mergeCell ref="E9:E10"/>
    <mergeCell ref="F9:F10"/>
    <mergeCell ref="G9:I9"/>
    <mergeCell ref="A2:B2"/>
    <mergeCell ref="E4:J4"/>
    <mergeCell ref="E5:J5"/>
    <mergeCell ref="E6:J6"/>
    <mergeCell ref="E7:J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2026-06-03T00:32:51Z</dcterms:modified>
</cp:coreProperties>
</file>