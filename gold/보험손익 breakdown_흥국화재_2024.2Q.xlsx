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D9556C0D-1140-40A0-AC38-299DEE1F61AC}" xr6:coauthVersionLast="47" xr6:coauthVersionMax="47" xr10:uidLastSave="{00000000-0000-0000-0000-000000000000}"/>
  <bookViews>
    <workbookView xWindow="-98" yWindow="-98" windowWidth="21795" windowHeight="12975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4" l="1"/>
  <c r="H14" i="4"/>
  <c r="H12" i="4"/>
  <c r="H11" i="4"/>
  <c r="H10" i="4"/>
  <c r="H7" i="4"/>
  <c r="H6" i="4"/>
  <c r="H5" i="4"/>
  <c r="H9" i="4"/>
  <c r="H4" i="4"/>
  <c r="E8" i="4" l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I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<sst xmlns="http://schemas.openxmlformats.org/spreadsheetml/2006/main" count="270" uniqueCount="95">
  <si>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</si>
  <si>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</si>
  <si>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</si>
  <si>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</si>
  <si>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</si>
  <si>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</si>
  <si>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</si>
  <si>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</si>
  <si>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</si>
  <si>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</si>
  <si>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</si>
  <si>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</si>
  <si>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</si>
  <si>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</si>
  <si>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</si>
  <si>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</si>
  <si>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</si>
  <si>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</si>
  <si>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</si>
  <si>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</si>
  <si>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</si>
  <si>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</si>
  <si>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</si>
  <si>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</si>
  <si>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</si>
  <si>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</si>
  <si>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</si>
  <si>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</si>
  <si>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</si>
  <si>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</si>
  <si>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</si>
  <si>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</si>
  <si>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</si>
  <si>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</si>
  <si>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</si>
  <si>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구분</t>
  </si>
  <si>
    <t>장기</t>
  </si>
  <si>
    <t>자동차</t>
  </si>
  <si>
    <t>일반</t>
  </si>
  <si>
    <t>합계</t>
  </si>
  <si>
    <t>2024.2Q</t>
    <phoneticPr fontId="2" type="noConversion"/>
  </si>
  <si>
    <t>-</t>
  </si>
  <si>
    <t>흥국화재</t>
    <phoneticPr fontId="2" type="noConversion"/>
  </si>
  <si>
    <t>KR0005</t>
    <phoneticPr fontId="2" type="noConversion"/>
  </si>
  <si>
    <t>28. 보험수익</t>
  </si>
  <si>
    <t>당반기와 전반기의 보험종류별 보험수익 내역은 다음과 같습니다.</t>
  </si>
  <si>
    <t>&lt;제79(당)기 반기 누적&gt;</t>
  </si>
  <si>
    <t> (단위: 백만원) </t>
  </si>
  <si>
    <t>구  분</t>
  </si>
  <si>
    <t>합  계</t>
  </si>
  <si>
    <t>&lt;보험료배분접근법을 적용하지 않는 발행한 보험계약&gt;</t>
  </si>
  <si>
    <t> 잔여보장부채의 변동과 관련된 금액</t>
  </si>
  <si>
    <t>    예상 발생한 보험서비스비용</t>
  </si>
  <si>
    <t>      예상지급보험금</t>
  </si>
  <si>
    <t>      예상직접유지비</t>
  </si>
  <si>
    <t>      예상투자관리비</t>
  </si>
  <si>
    <t>      예상손해조사비</t>
  </si>
  <si>
    <t>    비금융위험에 대한 위험조정 변동</t>
  </si>
  <si>
    <t>    보험계약마진상각</t>
  </si>
  <si>
    <t> 보험인수현금흐름의 회수와 관련된 보험료 부분의 배분액</t>
  </si>
  <si>
    <t>소 계</t>
  </si>
  <si>
    <t>&lt;보험료배분접근법을 적용하는 보험계약&gt;</t>
  </si>
  <si>
    <t> 보험료배분법적용수익</t>
  </si>
  <si>
    <t>합 계</t>
  </si>
  <si>
    <t>29. 보험서비스비용</t>
  </si>
  <si>
    <t>당반기 및 전반기 중 보험서비스비용의 내역은 다음과 같습니다.</t>
  </si>
  <si>
    <t>(1) 일반모형적용계약</t>
  </si>
  <si>
    <t>발생보험금</t>
  </si>
  <si>
    <t>발생사고부채변동</t>
  </si>
  <si>
    <t>직접신계약비상각비</t>
  </si>
  <si>
    <t>직접유지비</t>
  </si>
  <si>
    <t>손해조사비</t>
  </si>
  <si>
    <t>투자관리비</t>
  </si>
  <si>
    <t>손실부담계약집합의 손실 (손실의 환입)</t>
  </si>
  <si>
    <t>기타보험서비스비용</t>
  </si>
  <si>
    <t>(2) 보험료배분접근법적용계약</t>
  </si>
  <si>
    <t>손실부담계약집합의 손실(손실의 환입)</t>
  </si>
  <si>
    <t>30. 재보험수익</t>
  </si>
  <si>
    <t>당반기 및 전반기 중 발생한 재보험종류별 주요 수익의 내용은 다음과 같습니다.</t>
  </si>
  <si>
    <t>발생사고부채조정</t>
  </si>
  <si>
    <t>발생재보험금</t>
  </si>
  <si>
    <t>발생수입손해조사비</t>
  </si>
  <si>
    <t>이익요소의 인식(환입)</t>
  </si>
  <si>
    <t>기타</t>
  </si>
  <si>
    <t>항목</t>
  </si>
  <si>
    <t>31. 재보험비용</t>
  </si>
  <si>
    <t>당반기와 전반기 중 발생한 재보험종류별 주요 비용의 내용은 다음과 같습니다.</t>
  </si>
  <si>
    <t>계정과목</t>
  </si>
  <si>
    <t>&lt;보험료배분접근법을 적용하지 않는 발행한 재보험계약&gt;</t>
  </si>
  <si>
    <t>      예상출재보험금</t>
  </si>
  <si>
    <t>      예상수입손해조사비</t>
  </si>
  <si>
    <t>    기타재보험계약비용</t>
  </si>
  <si>
    <t>&lt;보험료배분접근법을 적용하는 재보험계약&gt;</t>
  </si>
  <si>
    <t> 보험료배분접근법적용</t>
  </si>
  <si>
    <t>&lt;- 흥국화재도 기타사업비 안빼야 보험손익 일치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</si>
</sst>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0" borderId="1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tabSelected="1" workbookViewId="0"/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2" x14ac:dyDescent="0.6">
      <c r="A1" s="8" t="s">
        <v>21</v>
      </c>
      <c r="B1" s="8" t="s">
        <v>20</v>
      </c>
      <c r="C1" s="8" t="s">
        <v>19</v>
      </c>
      <c r="D1" s="8" t="s">
        <v>18</v>
      </c>
      <c r="E1" s="8" t="s">
        <v>17</v>
      </c>
      <c r="F1" s="8" t="s">
        <v>16</v>
      </c>
      <c r="G1" s="8" t="s">
        <v>0</v>
      </c>
      <c r="H1" s="8" t="s">
        <v>15</v>
      </c>
      <c r="I1" s="8" t="s">
        <v>22</v>
      </c>
    </row>
    <row r="2" spans="1:12" x14ac:dyDescent="0.6">
      <c r="A2" s="8" t="s">
        <v>43</v>
      </c>
      <c r="B2" s="8" t="s">
        <v>42</v>
      </c>
      <c r="C2" s="8"/>
      <c r="D2" s="8" t="s">
        <v>3</v>
      </c>
      <c r="E2" s="8">
        <v>1</v>
      </c>
      <c r="F2" t="s">
        <v>14</v>
      </c>
      <c r="G2" s="8" t="s">
        <v>40</v>
      </c>
      <c r="H2" s="1">
        <f>H3+H14+H15+H16-H17</f>
        <v>182019</v>
      </c>
      <c r="I2" s="1" t="b">
        <f>ABS(ROUND(H2,0)-1135414.928)&lt;2</f>
        <v>0</v>
      </c>
      <c r="L2" s="1"/>
    </row>
    <row r="3" spans="1:12" x14ac:dyDescent="0.6">
      <c r="A3" s="8" t="s">
        <v>43</v>
      </c>
      <c r="B3" s="8" t="s">
        <v>42</v>
      </c>
      <c r="C3" s="8"/>
      <c r="D3" s="8" t="s">
        <v>3</v>
      </c>
      <c r="E3">
        <f t="shared" ref="E3" si="0">E2+1</f>
        <v>2</v>
      </c>
      <c r="F3" t="s">
        <v>23</v>
      </c>
      <c r="G3" t="s">
        <v>40</v>
      </c>
      <c r="H3" s="1">
        <f>H4+H9</f>
        <v>183564</v>
      </c>
    </row>
    <row r="4" spans="1:12" x14ac:dyDescent="0.6">
      <c r="A4" s="8" t="s">
        <v>43</v>
      </c>
      <c r="B4" s="8" t="s">
        <v>42</v>
      </c>
      <c r="C4" s="8"/>
      <c r="D4" s="8" t="s">
        <v>3</v>
      </c>
      <c r="E4">
        <f t="shared" ref="E4:E7" si="1">E3+1</f>
        <v>3</v>
      </c>
      <c r="F4" t="s">
        <v>24</v>
      </c>
      <c r="G4" t="s">
        <v>40</v>
      </c>
      <c r="H4" s="1">
        <f>보험손익!B21-보험손익!B41</f>
        <v>186716</v>
      </c>
    </row>
    <row r="5" spans="1:12" x14ac:dyDescent="0.6">
      <c r="A5" s="8" t="s">
        <v>43</v>
      </c>
      <c r="B5" s="8" t="s">
        <v>42</v>
      </c>
      <c r="C5" s="8"/>
      <c r="D5" s="8" t="s">
        <v>3</v>
      </c>
      <c r="E5">
        <f t="shared" si="1"/>
        <v>4</v>
      </c>
      <c r="F5" t="s">
        <v>27</v>
      </c>
      <c r="G5" t="s">
        <v>40</v>
      </c>
      <c r="H5" s="1">
        <f>보험손익!B16</f>
        <v>114554</v>
      </c>
      <c r="K5" s="1"/>
    </row>
    <row r="6" spans="1:12" x14ac:dyDescent="0.6">
      <c r="A6" s="8" t="s">
        <v>43</v>
      </c>
      <c r="B6" s="8" t="s">
        <v>42</v>
      </c>
      <c r="C6" s="8"/>
      <c r="D6" s="8" t="s">
        <v>3</v>
      </c>
      <c r="E6">
        <f t="shared" si="1"/>
        <v>5</v>
      </c>
      <c r="F6" t="s">
        <v>28</v>
      </c>
      <c r="G6" t="s">
        <v>40</v>
      </c>
      <c r="H6" s="1">
        <f>보험손익!B15</f>
        <v>15370</v>
      </c>
      <c r="K6" s="1"/>
    </row>
    <row r="7" spans="1:12" x14ac:dyDescent="0.6">
      <c r="A7" s="8" t="s">
        <v>43</v>
      </c>
      <c r="B7" s="8" t="s">
        <v>42</v>
      </c>
      <c r="C7" s="8"/>
      <c r="D7" s="8" t="s">
        <v>3</v>
      </c>
      <c r="E7">
        <f t="shared" si="1"/>
        <v>6</v>
      </c>
      <c r="F7" t="s">
        <v>29</v>
      </c>
      <c r="G7" t="s">
        <v>40</v>
      </c>
      <c r="H7" s="1">
        <f>SUM(보험손익!B10)-보험손익!B33-보험손익!B36-보험손익!B38-보험손익!B37</f>
        <v>62769</v>
      </c>
      <c r="K7" s="1"/>
    </row>
    <row r="8" spans="1:12" x14ac:dyDescent="0.6">
      <c r="A8" s="8" t="s">
        <v>43</v>
      </c>
      <c r="B8" s="8" t="s">
        <v>42</v>
      </c>
      <c r="C8" s="8"/>
      <c r="D8" s="8" t="s">
        <v>26</v>
      </c>
      <c r="E8">
        <f t="shared" ref="E8:E25" si="2">E7+1</f>
        <v>7</v>
      </c>
      <c r="F8" t="s">
        <v>30</v>
      </c>
      <c r="G8" t="s">
        <v>40</v>
      </c>
      <c r="H8" s="1">
        <f>H4-SUM(H5:H7)</f>
        <v>-5977</v>
      </c>
      <c r="K8" s="1"/>
    </row>
    <row r="9" spans="1:12" x14ac:dyDescent="0.6">
      <c r="A9" s="8" t="s">
        <v>43</v>
      </c>
      <c r="B9" s="8" t="s">
        <v>42</v>
      </c>
      <c r="C9" s="8"/>
      <c r="D9" s="8" t="s">
        <v>26</v>
      </c>
      <c r="E9">
        <f t="shared" si="2"/>
        <v>8</v>
      </c>
      <c r="F9" t="s">
        <v>25</v>
      </c>
      <c r="G9" t="s">
        <v>40</v>
      </c>
      <c r="H9" s="1">
        <f>+보험손익!B70+보험손익!B81-보험손익!B101</f>
        <v>-3152</v>
      </c>
      <c r="K9" s="1"/>
    </row>
    <row r="10" spans="1:12" x14ac:dyDescent="0.6">
      <c r="A10" s="8" t="s">
        <v>43</v>
      </c>
      <c r="B10" s="8" t="s">
        <v>42</v>
      </c>
      <c r="C10" s="8"/>
      <c r="D10" s="8" t="s">
        <v>26</v>
      </c>
      <c r="E10">
        <f t="shared" si="2"/>
        <v>9</v>
      </c>
      <c r="F10" t="s">
        <v>31</v>
      </c>
      <c r="G10" t="s">
        <v>40</v>
      </c>
      <c r="H10" s="1">
        <f>-보험손익!B97</f>
        <v>7798</v>
      </c>
      <c r="K10" s="1"/>
    </row>
    <row r="11" spans="1:12" x14ac:dyDescent="0.6">
      <c r="A11" s="8" t="s">
        <v>43</v>
      </c>
      <c r="B11" s="8" t="s">
        <v>42</v>
      </c>
      <c r="C11" s="8"/>
      <c r="D11" s="8" t="s">
        <v>26</v>
      </c>
      <c r="E11">
        <f t="shared" si="2"/>
        <v>10</v>
      </c>
      <c r="F11" t="s">
        <v>32</v>
      </c>
      <c r="G11" t="s">
        <v>40</v>
      </c>
      <c r="H11" s="1">
        <f>-보험손익!B96</f>
        <v>-751</v>
      </c>
      <c r="K11" s="1"/>
    </row>
    <row r="12" spans="1:12" x14ac:dyDescent="0.6">
      <c r="A12" s="8" t="s">
        <v>43</v>
      </c>
      <c r="B12" s="8" t="s">
        <v>42</v>
      </c>
      <c r="C12" s="8"/>
      <c r="D12" s="8" t="s">
        <v>26</v>
      </c>
      <c r="E12">
        <f t="shared" si="2"/>
        <v>11</v>
      </c>
      <c r="F12" t="s">
        <v>33</v>
      </c>
      <c r="G12" t="s">
        <v>40</v>
      </c>
      <c r="H12" s="1">
        <f>보험손익!B78+보험손익!B66+보험손익!B67+N(보험손익!B79)-N(보험손익!B94)-N(보험손익!B95)</f>
        <v>-8852</v>
      </c>
      <c r="K12" s="1"/>
    </row>
    <row r="13" spans="1:12" x14ac:dyDescent="0.6">
      <c r="A13" s="8" t="s">
        <v>43</v>
      </c>
      <c r="B13" s="8" t="s">
        <v>42</v>
      </c>
      <c r="C13" s="8"/>
      <c r="D13" s="8" t="s">
        <v>26</v>
      </c>
      <c r="E13">
        <f t="shared" si="2"/>
        <v>12</v>
      </c>
      <c r="F13" t="s">
        <v>34</v>
      </c>
      <c r="G13" t="s">
        <v>40</v>
      </c>
      <c r="H13" s="1">
        <f>H9-SUM(H10:H12)</f>
        <v>-1347</v>
      </c>
      <c r="K13" s="1"/>
    </row>
    <row r="14" spans="1:12" x14ac:dyDescent="0.6">
      <c r="A14" s="8" t="s">
        <v>43</v>
      </c>
      <c r="B14" s="8" t="s">
        <v>42</v>
      </c>
      <c r="C14" s="8"/>
      <c r="D14" s="8" t="s">
        <v>26</v>
      </c>
      <c r="E14">
        <f t="shared" si="2"/>
        <v>13</v>
      </c>
      <c r="F14" t="s">
        <v>13</v>
      </c>
      <c r="G14" t="s">
        <v>40</v>
      </c>
      <c r="H14" s="1">
        <f>보험손익!D21-보험손익!C54+보험손익!D81-보험손익!D101</f>
        <v>-3671</v>
      </c>
      <c r="J14" s="1"/>
    </row>
    <row r="15" spans="1:12" x14ac:dyDescent="0.6">
      <c r="A15" s="8" t="s">
        <v>43</v>
      </c>
      <c r="B15" s="8" t="s">
        <v>42</v>
      </c>
      <c r="C15" s="8"/>
      <c r="D15" s="8" t="s">
        <v>3</v>
      </c>
      <c r="E15">
        <f t="shared" si="2"/>
        <v>14</v>
      </c>
      <c r="F15" t="s">
        <v>12</v>
      </c>
      <c r="G15" t="s">
        <v>40</v>
      </c>
      <c r="H15" s="1">
        <f>보험손익!C21-보험손익!B54+보험손익!C81-보험손익!C101</f>
        <v>2126</v>
      </c>
    </row>
    <row r="16" spans="1:12" x14ac:dyDescent="0.6">
      <c r="A16" s="8" t="s">
        <v>43</v>
      </c>
      <c r="B16" s="8" t="s">
        <v>42</v>
      </c>
      <c r="C16" s="8"/>
      <c r="D16" s="8" t="s">
        <v>3</v>
      </c>
      <c r="E16">
        <f t="shared" si="2"/>
        <v>15</v>
      </c>
      <c r="F16" t="s">
        <v>8</v>
      </c>
      <c r="G16" t="s">
        <v>40</v>
      </c>
      <c r="H16" s="1"/>
    </row>
    <row r="17" spans="1:9" x14ac:dyDescent="0.6">
      <c r="A17" s="8" t="s">
        <v>43</v>
      </c>
      <c r="B17" s="8" t="s">
        <v>42</v>
      </c>
      <c r="C17" s="8"/>
      <c r="D17" s="8" t="s">
        <v>3</v>
      </c>
      <c r="E17">
        <f t="shared" si="2"/>
        <v>16</v>
      </c>
      <c r="F17" t="s">
        <v>7</v>
      </c>
      <c r="G17" t="s">
        <v>40</v>
      </c>
      <c r="H17" s="1"/>
      <c r="I17" t="s">
        <v>94</v>
      </c>
    </row>
    <row r="18" spans="1:9" x14ac:dyDescent="0.6">
      <c r="A18" s="8" t="s">
        <v>43</v>
      </c>
      <c r="B18" s="8" t="s">
        <v>42</v>
      </c>
      <c r="C18" s="8"/>
      <c r="D18" s="8" t="s">
        <v>3</v>
      </c>
      <c r="E18">
        <f t="shared" si="2"/>
        <v>17</v>
      </c>
      <c r="F18" t="s">
        <v>11</v>
      </c>
      <c r="G18" t="s">
        <v>40</v>
      </c>
      <c r="H18" s="1"/>
    </row>
    <row r="19" spans="1:9" x14ac:dyDescent="0.6">
      <c r="A19" s="8" t="s">
        <v>43</v>
      </c>
      <c r="B19" s="8" t="s">
        <v>42</v>
      </c>
      <c r="C19" s="8"/>
      <c r="D19" s="8" t="s">
        <v>3</v>
      </c>
      <c r="E19">
        <f t="shared" si="2"/>
        <v>18</v>
      </c>
      <c r="F19" t="s">
        <v>10</v>
      </c>
      <c r="G19" t="s">
        <v>40</v>
      </c>
      <c r="H19" s="1"/>
    </row>
    <row r="20" spans="1:9" x14ac:dyDescent="0.6">
      <c r="A20" s="8" t="s">
        <v>43</v>
      </c>
      <c r="B20" s="8" t="s">
        <v>42</v>
      </c>
      <c r="C20" s="8"/>
      <c r="D20" s="8" t="s">
        <v>3</v>
      </c>
      <c r="E20">
        <f t="shared" si="2"/>
        <v>19</v>
      </c>
      <c r="F20" t="s">
        <v>9</v>
      </c>
      <c r="G20" t="s">
        <v>40</v>
      </c>
      <c r="H20" s="1"/>
    </row>
    <row r="21" spans="1:9" x14ac:dyDescent="0.6">
      <c r="A21" s="8" t="s">
        <v>43</v>
      </c>
      <c r="B21" s="8" t="s">
        <v>42</v>
      </c>
      <c r="C21" s="8"/>
      <c r="D21" s="8" t="s">
        <v>3</v>
      </c>
      <c r="E21">
        <f t="shared" si="2"/>
        <v>20</v>
      </c>
      <c r="F21" t="s">
        <v>1</v>
      </c>
      <c r="G21" t="s">
        <v>40</v>
      </c>
      <c r="H21" s="1"/>
    </row>
    <row r="22" spans="1:9" x14ac:dyDescent="0.6">
      <c r="A22" s="8" t="s">
        <v>43</v>
      </c>
      <c r="B22" s="8" t="s">
        <v>42</v>
      </c>
      <c r="C22" s="8"/>
      <c r="D22" s="8" t="s">
        <v>3</v>
      </c>
      <c r="E22">
        <f t="shared" si="2"/>
        <v>21</v>
      </c>
      <c r="F22" t="s">
        <v>6</v>
      </c>
      <c r="G22" t="s">
        <v>40</v>
      </c>
      <c r="H22" s="1"/>
    </row>
    <row r="23" spans="1:9" x14ac:dyDescent="0.6">
      <c r="A23" s="8" t="s">
        <v>43</v>
      </c>
      <c r="B23" s="8" t="s">
        <v>42</v>
      </c>
      <c r="C23" s="8"/>
      <c r="D23" s="8" t="s">
        <v>3</v>
      </c>
      <c r="E23">
        <f t="shared" si="2"/>
        <v>22</v>
      </c>
      <c r="F23" t="s">
        <v>5</v>
      </c>
      <c r="G23" t="s">
        <v>40</v>
      </c>
      <c r="H23" s="1"/>
    </row>
    <row r="24" spans="1:9" x14ac:dyDescent="0.6">
      <c r="A24" s="8" t="s">
        <v>43</v>
      </c>
      <c r="B24" s="8" t="s">
        <v>42</v>
      </c>
      <c r="C24" s="8"/>
      <c r="D24" s="8" t="s">
        <v>3</v>
      </c>
      <c r="E24">
        <f t="shared" si="2"/>
        <v>23</v>
      </c>
      <c r="F24" t="s">
        <v>4</v>
      </c>
      <c r="G24" t="s">
        <v>40</v>
      </c>
      <c r="H24" s="1"/>
    </row>
    <row r="25" spans="1:9" x14ac:dyDescent="0.6">
      <c r="A25" s="8" t="s">
        <v>43</v>
      </c>
      <c r="B25" s="8" t="s">
        <v>42</v>
      </c>
      <c r="C25" s="8"/>
      <c r="D25" s="8" t="s">
        <v>3</v>
      </c>
      <c r="E25">
        <f t="shared" si="2"/>
        <v>24</v>
      </c>
      <c r="F25" t="s">
        <v>2</v>
      </c>
      <c r="G25" t="s">
        <v>40</v>
      </c>
      <c r="H25" s="1"/>
      <c r="I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E101"/>
  <sheetViews>
    <sheetView zoomScaleNormal="100" workbookViewId="0">
      <pane xSplit="1" ySplit="1" topLeftCell="B91" activePane="bottomRight" state="frozen"/>
      <selection pane="topRight" activeCell="D1" sqref="D1"/>
      <selection pane="bottomLeft" activeCell="A2" sqref="A2"/>
      <selection pane="bottomRight" activeCell="A6" sqref="A6:E6"/>
    </sheetView>
  </sheetViews>
  <sheetFormatPr defaultRowHeight="16.899999999999999" x14ac:dyDescent="0.6"/>
  <cols>
    <col min="1" max="1" width="28.1875" bestFit="1" customWidth="1"/>
    <col min="2" max="5" width="9.8125" bestFit="1" customWidth="1"/>
  </cols>
  <sheetData>
    <row r="1" spans="1:5" x14ac:dyDescent="0.6">
      <c r="A1" s="10" t="s">
        <v>44</v>
      </c>
    </row>
    <row r="2" spans="1:5" x14ac:dyDescent="0.6">
      <c r="A2" s="14"/>
    </row>
    <row r="3" spans="1:5" ht="28.5" x14ac:dyDescent="0.6">
      <c r="A3" s="10" t="s">
        <v>45</v>
      </c>
    </row>
    <row r="4" spans="1:5" ht="28.8" customHeight="1" x14ac:dyDescent="0.6">
      <c r="A4" s="15"/>
    </row>
    <row r="5" spans="1:5" ht="40.5" x14ac:dyDescent="0.6">
      <c r="A5" s="16" t="s">
        <v>46</v>
      </c>
    </row>
    <row r="6" spans="1:5" x14ac:dyDescent="0.6">
      <c r="A6" s="20" t="s">
        <v>47</v>
      </c>
      <c r="B6" s="21"/>
      <c r="C6" s="21"/>
      <c r="D6" s="21"/>
      <c r="E6" s="22"/>
    </row>
    <row r="7" spans="1:5" x14ac:dyDescent="0.6">
      <c r="A7" s="18" t="s">
        <v>48</v>
      </c>
      <c r="B7" s="17" t="s">
        <v>36</v>
      </c>
      <c r="C7" s="17" t="s">
        <v>38</v>
      </c>
      <c r="D7" s="17" t="s">
        <v>37</v>
      </c>
      <c r="E7" s="19" t="s">
        <v>49</v>
      </c>
    </row>
    <row r="8" spans="1:5" ht="27" customHeight="1" x14ac:dyDescent="0.6">
      <c r="A8" s="23" t="s">
        <v>50</v>
      </c>
      <c r="B8" s="24"/>
      <c r="C8" s="24"/>
      <c r="D8" s="24"/>
      <c r="E8" s="25"/>
    </row>
    <row r="9" spans="1:5" ht="54" x14ac:dyDescent="0.6">
      <c r="A9" s="11" t="s">
        <v>51</v>
      </c>
      <c r="B9" s="2">
        <v>1036304</v>
      </c>
      <c r="C9" s="3" t="s">
        <v>41</v>
      </c>
      <c r="D9" s="3" t="s">
        <v>41</v>
      </c>
      <c r="E9" s="4">
        <v>1036304</v>
      </c>
    </row>
    <row r="10" spans="1:5" x14ac:dyDescent="0.6">
      <c r="A10" s="26" t="s">
        <v>52</v>
      </c>
      <c r="B10" s="2">
        <v>906380</v>
      </c>
      <c r="C10" s="3" t="s">
        <v>41</v>
      </c>
      <c r="D10" s="3" t="s">
        <v>41</v>
      </c>
      <c r="E10" s="4">
        <v>906380</v>
      </c>
    </row>
    <row r="11" spans="1:5" ht="40.5" x14ac:dyDescent="0.6">
      <c r="A11" s="11" t="s">
        <v>53</v>
      </c>
      <c r="B11" s="2">
        <v>808370</v>
      </c>
      <c r="C11" s="3" t="s">
        <v>41</v>
      </c>
      <c r="D11" s="3" t="s">
        <v>41</v>
      </c>
      <c r="E11" s="4">
        <v>808370</v>
      </c>
    </row>
    <row r="12" spans="1:5" ht="40.5" x14ac:dyDescent="0.6">
      <c r="A12" s="11" t="s">
        <v>54</v>
      </c>
      <c r="B12" s="2">
        <v>62087</v>
      </c>
      <c r="C12" s="3" t="s">
        <v>41</v>
      </c>
      <c r="D12" s="3" t="s">
        <v>41</v>
      </c>
      <c r="E12" s="4">
        <v>62087</v>
      </c>
    </row>
    <row r="13" spans="1:5" ht="40.5" x14ac:dyDescent="0.6">
      <c r="A13" s="11" t="s">
        <v>55</v>
      </c>
      <c r="B13" s="2">
        <v>4192</v>
      </c>
      <c r="C13" s="3" t="s">
        <v>41</v>
      </c>
      <c r="D13" s="3" t="s">
        <v>41</v>
      </c>
      <c r="E13" s="4">
        <v>4192</v>
      </c>
    </row>
    <row r="14" spans="1:5" ht="40.5" x14ac:dyDescent="0.6">
      <c r="A14" s="11" t="s">
        <v>56</v>
      </c>
      <c r="B14" s="2">
        <v>31731</v>
      </c>
      <c r="C14" s="3" t="s">
        <v>41</v>
      </c>
      <c r="D14" s="3" t="s">
        <v>41</v>
      </c>
      <c r="E14" s="4">
        <v>31731</v>
      </c>
    </row>
    <row r="15" spans="1:5" ht="54" x14ac:dyDescent="0.6">
      <c r="A15" s="11" t="s">
        <v>57</v>
      </c>
      <c r="B15" s="2">
        <v>15370</v>
      </c>
      <c r="C15" s="3" t="s">
        <v>41</v>
      </c>
      <c r="D15" s="3" t="s">
        <v>41</v>
      </c>
      <c r="E15" s="4">
        <v>15370</v>
      </c>
    </row>
    <row r="16" spans="1:5" ht="40.5" x14ac:dyDescent="0.6">
      <c r="A16" s="11" t="s">
        <v>58</v>
      </c>
      <c r="B16" s="2">
        <v>114554</v>
      </c>
      <c r="C16" s="3" t="s">
        <v>41</v>
      </c>
      <c r="D16" s="3" t="s">
        <v>41</v>
      </c>
      <c r="E16" s="4">
        <v>114554</v>
      </c>
    </row>
    <row r="17" spans="1:5" ht="81" x14ac:dyDescent="0.6">
      <c r="A17" s="11" t="s">
        <v>59</v>
      </c>
      <c r="B17" s="2">
        <v>89490</v>
      </c>
      <c r="C17" s="3" t="s">
        <v>41</v>
      </c>
      <c r="D17" s="3" t="s">
        <v>41</v>
      </c>
      <c r="E17" s="4">
        <v>89490</v>
      </c>
    </row>
    <row r="18" spans="1:5" x14ac:dyDescent="0.6">
      <c r="A18" s="12" t="s">
        <v>60</v>
      </c>
      <c r="B18" s="2">
        <v>1125794</v>
      </c>
      <c r="C18" s="3" t="s">
        <v>41</v>
      </c>
      <c r="D18" s="3" t="s">
        <v>41</v>
      </c>
      <c r="E18" s="4">
        <v>1125794</v>
      </c>
    </row>
    <row r="19" spans="1:5" x14ac:dyDescent="0.6">
      <c r="A19" s="23" t="s">
        <v>61</v>
      </c>
      <c r="B19" s="24"/>
      <c r="C19" s="24"/>
      <c r="D19" s="24"/>
      <c r="E19" s="25"/>
    </row>
    <row r="20" spans="1:5" ht="28.8" customHeight="1" x14ac:dyDescent="0.6">
      <c r="A20" s="11" t="s">
        <v>62</v>
      </c>
      <c r="B20" s="3" t="s">
        <v>41</v>
      </c>
      <c r="C20" s="2">
        <v>66672</v>
      </c>
      <c r="D20" s="2">
        <v>56913</v>
      </c>
      <c r="E20" s="4">
        <v>123585</v>
      </c>
    </row>
    <row r="21" spans="1:5" ht="28.8" customHeight="1" x14ac:dyDescent="0.6">
      <c r="A21" s="13" t="s">
        <v>63</v>
      </c>
      <c r="B21" s="5">
        <v>1125794</v>
      </c>
      <c r="C21" s="5">
        <v>66672</v>
      </c>
      <c r="D21" s="5">
        <v>56913</v>
      </c>
      <c r="E21" s="6">
        <v>1249379</v>
      </c>
    </row>
    <row r="22" spans="1:5" x14ac:dyDescent="0.6">
      <c r="A22" s="15"/>
    </row>
    <row r="23" spans="1:5" x14ac:dyDescent="0.6">
      <c r="A23" s="15"/>
    </row>
    <row r="24" spans="1:5" x14ac:dyDescent="0.6">
      <c r="A24" s="10" t="s">
        <v>64</v>
      </c>
    </row>
    <row r="25" spans="1:5" x14ac:dyDescent="0.6">
      <c r="A25" s="14"/>
    </row>
    <row r="26" spans="1:5" x14ac:dyDescent="0.6">
      <c r="A26" s="10" t="s">
        <v>65</v>
      </c>
    </row>
    <row r="27" spans="1:5" x14ac:dyDescent="0.6">
      <c r="A27" s="14"/>
    </row>
    <row r="28" spans="1:5" x14ac:dyDescent="0.6">
      <c r="A28" s="10" t="s">
        <v>66</v>
      </c>
    </row>
    <row r="29" spans="1:5" x14ac:dyDescent="0.6">
      <c r="A29" s="15"/>
    </row>
    <row r="30" spans="1:5" x14ac:dyDescent="0.6">
      <c r="A30" s="16" t="s">
        <v>46</v>
      </c>
    </row>
    <row r="31" spans="1:5" x14ac:dyDescent="0.6">
      <c r="A31" s="20" t="s">
        <v>47</v>
      </c>
      <c r="B31" s="21"/>
      <c r="C31" s="22"/>
    </row>
    <row r="32" spans="1:5" x14ac:dyDescent="0.6">
      <c r="A32" s="18" t="s">
        <v>35</v>
      </c>
      <c r="B32" s="17" t="s">
        <v>36</v>
      </c>
      <c r="C32" s="19" t="s">
        <v>39</v>
      </c>
    </row>
    <row r="33" spans="1:4" x14ac:dyDescent="0.6">
      <c r="A33" s="11" t="s">
        <v>67</v>
      </c>
      <c r="B33" s="2">
        <v>742429</v>
      </c>
      <c r="C33" s="4">
        <v>742429</v>
      </c>
    </row>
    <row r="34" spans="1:4" x14ac:dyDescent="0.6">
      <c r="A34" s="11" t="s">
        <v>68</v>
      </c>
      <c r="B34" s="2">
        <v>2370</v>
      </c>
      <c r="C34" s="4">
        <v>2370</v>
      </c>
    </row>
    <row r="35" spans="1:4" x14ac:dyDescent="0.6">
      <c r="A35" s="11" t="s">
        <v>69</v>
      </c>
      <c r="B35" s="2">
        <v>89650</v>
      </c>
      <c r="C35" s="4">
        <v>89650</v>
      </c>
    </row>
    <row r="36" spans="1:4" x14ac:dyDescent="0.6">
      <c r="A36" s="11" t="s">
        <v>70</v>
      </c>
      <c r="B36" s="2">
        <v>64343</v>
      </c>
      <c r="C36" s="4">
        <v>64343</v>
      </c>
    </row>
    <row r="37" spans="1:4" x14ac:dyDescent="0.6">
      <c r="A37" s="11" t="s">
        <v>71</v>
      </c>
      <c r="B37" s="2">
        <v>32631</v>
      </c>
      <c r="C37" s="4">
        <v>32631</v>
      </c>
    </row>
    <row r="38" spans="1:4" x14ac:dyDescent="0.6">
      <c r="A38" s="11" t="s">
        <v>72</v>
      </c>
      <c r="B38" s="2">
        <v>4208</v>
      </c>
      <c r="C38" s="4">
        <v>4208</v>
      </c>
    </row>
    <row r="39" spans="1:4" ht="27" x14ac:dyDescent="0.6">
      <c r="A39" s="11" t="s">
        <v>73</v>
      </c>
      <c r="B39" s="2">
        <v>-6332</v>
      </c>
      <c r="C39" s="4">
        <v>-6332</v>
      </c>
    </row>
    <row r="40" spans="1:4" x14ac:dyDescent="0.6">
      <c r="A40" s="11" t="s">
        <v>74</v>
      </c>
      <c r="B40" s="2">
        <v>9779</v>
      </c>
      <c r="C40" s="4">
        <v>9779</v>
      </c>
    </row>
    <row r="41" spans="1:4" x14ac:dyDescent="0.6">
      <c r="A41" s="13" t="s">
        <v>63</v>
      </c>
      <c r="B41" s="5">
        <v>939078</v>
      </c>
      <c r="C41" s="6">
        <v>939078</v>
      </c>
    </row>
    <row r="42" spans="1:4" x14ac:dyDescent="0.6">
      <c r="A42" s="10" t="s">
        <v>75</v>
      </c>
    </row>
    <row r="43" spans="1:4" x14ac:dyDescent="0.6">
      <c r="A43" s="15"/>
    </row>
    <row r="44" spans="1:4" x14ac:dyDescent="0.6">
      <c r="A44" s="16" t="s">
        <v>46</v>
      </c>
    </row>
    <row r="45" spans="1:4" x14ac:dyDescent="0.6">
      <c r="A45" s="20" t="s">
        <v>47</v>
      </c>
      <c r="B45" s="21"/>
      <c r="C45" s="21"/>
      <c r="D45" s="22"/>
    </row>
    <row r="46" spans="1:4" x14ac:dyDescent="0.6">
      <c r="A46" s="18" t="s">
        <v>35</v>
      </c>
      <c r="B46" s="17" t="s">
        <v>38</v>
      </c>
      <c r="C46" s="17" t="s">
        <v>37</v>
      </c>
      <c r="D46" s="19" t="s">
        <v>39</v>
      </c>
    </row>
    <row r="47" spans="1:4" x14ac:dyDescent="0.6">
      <c r="A47" s="11" t="s">
        <v>67</v>
      </c>
      <c r="B47" s="2">
        <v>16399</v>
      </c>
      <c r="C47" s="2">
        <v>50076</v>
      </c>
      <c r="D47" s="4">
        <v>66475</v>
      </c>
    </row>
    <row r="48" spans="1:4" x14ac:dyDescent="0.6">
      <c r="A48" s="11" t="s">
        <v>68</v>
      </c>
      <c r="B48" s="2">
        <v>6616</v>
      </c>
      <c r="C48" s="2">
        <v>-6261</v>
      </c>
      <c r="D48" s="7">
        <v>355</v>
      </c>
    </row>
    <row r="49" spans="1:4" x14ac:dyDescent="0.6">
      <c r="A49" s="11" t="s">
        <v>69</v>
      </c>
      <c r="B49" s="2">
        <v>9805</v>
      </c>
      <c r="C49" s="2">
        <v>5515</v>
      </c>
      <c r="D49" s="4">
        <v>15320</v>
      </c>
    </row>
    <row r="50" spans="1:4" x14ac:dyDescent="0.6">
      <c r="A50" s="11" t="s">
        <v>70</v>
      </c>
      <c r="B50" s="2">
        <v>4040</v>
      </c>
      <c r="C50" s="2">
        <v>4608</v>
      </c>
      <c r="D50" s="4">
        <v>8648</v>
      </c>
    </row>
    <row r="51" spans="1:4" x14ac:dyDescent="0.6">
      <c r="A51" s="11" t="s">
        <v>71</v>
      </c>
      <c r="B51" s="3">
        <v>990</v>
      </c>
      <c r="C51" s="2">
        <v>5415</v>
      </c>
      <c r="D51" s="4">
        <v>6405</v>
      </c>
    </row>
    <row r="52" spans="1:4" ht="27" x14ac:dyDescent="0.6">
      <c r="A52" s="11" t="s">
        <v>76</v>
      </c>
      <c r="B52" s="3">
        <v>-132</v>
      </c>
      <c r="C52" s="3">
        <v>-11</v>
      </c>
      <c r="D52" s="7">
        <v>-143</v>
      </c>
    </row>
    <row r="53" spans="1:4" x14ac:dyDescent="0.6">
      <c r="A53" s="11" t="s">
        <v>74</v>
      </c>
      <c r="B53" s="3">
        <v>933</v>
      </c>
      <c r="C53" s="3">
        <v>533</v>
      </c>
      <c r="D53" s="4">
        <v>1466</v>
      </c>
    </row>
    <row r="54" spans="1:4" x14ac:dyDescent="0.6">
      <c r="A54" s="13" t="s">
        <v>63</v>
      </c>
      <c r="B54" s="5">
        <v>38651</v>
      </c>
      <c r="C54" s="5">
        <v>59875</v>
      </c>
      <c r="D54" s="6">
        <v>98526</v>
      </c>
    </row>
    <row r="56" spans="1:4" x14ac:dyDescent="0.6">
      <c r="A56" s="10" t="s">
        <v>77</v>
      </c>
    </row>
    <row r="57" spans="1:4" x14ac:dyDescent="0.6">
      <c r="A57" s="14"/>
    </row>
    <row r="58" spans="1:4" x14ac:dyDescent="0.6">
      <c r="A58" s="10" t="s">
        <v>78</v>
      </c>
    </row>
    <row r="59" spans="1:4" x14ac:dyDescent="0.6">
      <c r="A59" s="14"/>
    </row>
    <row r="60" spans="1:4" x14ac:dyDescent="0.6">
      <c r="A60" s="10" t="s">
        <v>66</v>
      </c>
    </row>
    <row r="61" spans="1:4" x14ac:dyDescent="0.6">
      <c r="A61" s="15"/>
    </row>
    <row r="62" spans="1:4" x14ac:dyDescent="0.6">
      <c r="A62" s="16" t="s">
        <v>46</v>
      </c>
    </row>
    <row r="63" spans="1:4" x14ac:dyDescent="0.6">
      <c r="A63" s="20" t="s">
        <v>47</v>
      </c>
      <c r="B63" s="21"/>
      <c r="C63" s="22"/>
    </row>
    <row r="64" spans="1:4" x14ac:dyDescent="0.6">
      <c r="A64" s="18" t="s">
        <v>35</v>
      </c>
      <c r="B64" s="17" t="s">
        <v>36</v>
      </c>
      <c r="C64" s="19" t="s">
        <v>39</v>
      </c>
    </row>
    <row r="65" spans="1:5" x14ac:dyDescent="0.6">
      <c r="A65" s="11" t="s">
        <v>79</v>
      </c>
      <c r="B65" s="2">
        <v>1859</v>
      </c>
      <c r="C65" s="4">
        <v>1859</v>
      </c>
    </row>
    <row r="66" spans="1:5" x14ac:dyDescent="0.6">
      <c r="A66" s="11" t="s">
        <v>80</v>
      </c>
      <c r="B66" s="2">
        <v>16065</v>
      </c>
      <c r="C66" s="4">
        <v>16065</v>
      </c>
    </row>
    <row r="67" spans="1:5" x14ac:dyDescent="0.6">
      <c r="A67" s="11" t="s">
        <v>81</v>
      </c>
      <c r="B67" s="2">
        <v>1119</v>
      </c>
      <c r="C67" s="4">
        <v>1119</v>
      </c>
    </row>
    <row r="68" spans="1:5" x14ac:dyDescent="0.6">
      <c r="A68" s="11" t="s">
        <v>82</v>
      </c>
      <c r="B68" s="3">
        <v>-91</v>
      </c>
      <c r="C68" s="7">
        <v>-91</v>
      </c>
    </row>
    <row r="69" spans="1:5" x14ac:dyDescent="0.6">
      <c r="A69" s="11" t="s">
        <v>83</v>
      </c>
      <c r="B69" s="2">
        <v>-2075</v>
      </c>
      <c r="C69" s="4">
        <v>-2075</v>
      </c>
    </row>
    <row r="70" spans="1:5" x14ac:dyDescent="0.6">
      <c r="A70" s="13" t="s">
        <v>49</v>
      </c>
      <c r="B70" s="5">
        <v>16877</v>
      </c>
      <c r="C70" s="6">
        <v>16877</v>
      </c>
    </row>
    <row r="72" spans="1:5" x14ac:dyDescent="0.6">
      <c r="A72" s="10" t="s">
        <v>75</v>
      </c>
    </row>
    <row r="73" spans="1:5" x14ac:dyDescent="0.6">
      <c r="A73" s="15"/>
    </row>
    <row r="74" spans="1:5" x14ac:dyDescent="0.6">
      <c r="A74" s="16" t="s">
        <v>46</v>
      </c>
    </row>
    <row r="75" spans="1:5" x14ac:dyDescent="0.6">
      <c r="A75" s="20" t="s">
        <v>47</v>
      </c>
      <c r="B75" s="21"/>
      <c r="C75" s="21"/>
      <c r="D75" s="21"/>
      <c r="E75" s="22"/>
    </row>
    <row r="76" spans="1:5" x14ac:dyDescent="0.6">
      <c r="A76" s="18" t="s">
        <v>84</v>
      </c>
      <c r="B76" s="17" t="s">
        <v>36</v>
      </c>
      <c r="C76" s="17" t="s">
        <v>38</v>
      </c>
      <c r="D76" s="17" t="s">
        <v>37</v>
      </c>
      <c r="E76" s="19" t="s">
        <v>39</v>
      </c>
    </row>
    <row r="77" spans="1:5" x14ac:dyDescent="0.6">
      <c r="A77" s="11" t="s">
        <v>79</v>
      </c>
      <c r="B77" s="3">
        <v>11</v>
      </c>
      <c r="C77" s="3">
        <v>-444</v>
      </c>
      <c r="D77" s="2">
        <v>-2490</v>
      </c>
      <c r="E77" s="4">
        <v>-2923</v>
      </c>
    </row>
    <row r="78" spans="1:5" x14ac:dyDescent="0.6">
      <c r="A78" s="11" t="s">
        <v>80</v>
      </c>
      <c r="B78" s="3">
        <v>-128</v>
      </c>
      <c r="C78" s="2">
        <v>7780</v>
      </c>
      <c r="D78" s="2">
        <v>6569</v>
      </c>
      <c r="E78" s="4">
        <v>14221</v>
      </c>
    </row>
    <row r="79" spans="1:5" x14ac:dyDescent="0.6">
      <c r="A79" s="11" t="s">
        <v>81</v>
      </c>
      <c r="B79" s="3" t="s">
        <v>41</v>
      </c>
      <c r="C79" s="3">
        <v>288</v>
      </c>
      <c r="D79" s="3" t="s">
        <v>41</v>
      </c>
      <c r="E79" s="7">
        <v>288</v>
      </c>
    </row>
    <row r="80" spans="1:5" x14ac:dyDescent="0.6">
      <c r="A80" s="11" t="s">
        <v>82</v>
      </c>
      <c r="B80" s="3" t="s">
        <v>41</v>
      </c>
      <c r="C80" s="3">
        <v>81</v>
      </c>
      <c r="D80" s="3">
        <v>-2</v>
      </c>
      <c r="E80" s="7">
        <v>79</v>
      </c>
    </row>
    <row r="81" spans="1:5" x14ac:dyDescent="0.6">
      <c r="A81" s="13" t="s">
        <v>39</v>
      </c>
      <c r="B81" s="9">
        <v>-117</v>
      </c>
      <c r="C81" s="5">
        <v>7705</v>
      </c>
      <c r="D81" s="5">
        <v>4077</v>
      </c>
      <c r="E81" s="6">
        <v>11665</v>
      </c>
    </row>
    <row r="83" spans="1:5" x14ac:dyDescent="0.6">
      <c r="A83" s="10" t="s">
        <v>85</v>
      </c>
    </row>
    <row r="84" spans="1:5" x14ac:dyDescent="0.6">
      <c r="A84" s="14"/>
    </row>
    <row r="85" spans="1:5" x14ac:dyDescent="0.6">
      <c r="A85" s="10" t="s">
        <v>86</v>
      </c>
    </row>
    <row r="86" spans="1:5" x14ac:dyDescent="0.6">
      <c r="A86" s="15"/>
    </row>
    <row r="87" spans="1:5" x14ac:dyDescent="0.6">
      <c r="A87" s="15"/>
    </row>
    <row r="88" spans="1:5" x14ac:dyDescent="0.6">
      <c r="A88" s="16" t="s">
        <v>46</v>
      </c>
    </row>
    <row r="89" spans="1:5" x14ac:dyDescent="0.6">
      <c r="A89" s="20" t="s">
        <v>47</v>
      </c>
      <c r="B89" s="21"/>
      <c r="C89" s="21"/>
      <c r="D89" s="21"/>
      <c r="E89" s="22"/>
    </row>
    <row r="90" spans="1:5" x14ac:dyDescent="0.6">
      <c r="A90" s="18" t="s">
        <v>87</v>
      </c>
      <c r="B90" s="17" t="s">
        <v>36</v>
      </c>
      <c r="C90" s="17" t="s">
        <v>38</v>
      </c>
      <c r="D90" s="17" t="s">
        <v>37</v>
      </c>
      <c r="E90" s="19" t="s">
        <v>63</v>
      </c>
    </row>
    <row r="91" spans="1:5" ht="27" customHeight="1" x14ac:dyDescent="0.6">
      <c r="A91" s="23" t="s">
        <v>88</v>
      </c>
      <c r="B91" s="24"/>
      <c r="C91" s="24"/>
      <c r="D91" s="24"/>
      <c r="E91" s="25"/>
    </row>
    <row r="92" spans="1:5" ht="27" x14ac:dyDescent="0.6">
      <c r="A92" s="11" t="s">
        <v>51</v>
      </c>
      <c r="B92" s="2">
        <v>18966</v>
      </c>
      <c r="C92" s="3" t="s">
        <v>41</v>
      </c>
      <c r="D92" s="3" t="s">
        <v>41</v>
      </c>
      <c r="E92" s="4">
        <v>18966</v>
      </c>
    </row>
    <row r="93" spans="1:5" x14ac:dyDescent="0.6">
      <c r="A93" s="11" t="s">
        <v>52</v>
      </c>
      <c r="B93" s="2">
        <v>25908</v>
      </c>
      <c r="C93" s="3" t="s">
        <v>41</v>
      </c>
      <c r="D93" s="3" t="s">
        <v>41</v>
      </c>
      <c r="E93" s="4">
        <v>25908</v>
      </c>
    </row>
    <row r="94" spans="1:5" x14ac:dyDescent="0.6">
      <c r="A94" s="11" t="s">
        <v>89</v>
      </c>
      <c r="B94" s="2">
        <v>24882</v>
      </c>
      <c r="C94" s="3" t="s">
        <v>41</v>
      </c>
      <c r="D94" s="3" t="s">
        <v>41</v>
      </c>
      <c r="E94" s="4">
        <v>24882</v>
      </c>
    </row>
    <row r="95" spans="1:5" x14ac:dyDescent="0.6">
      <c r="A95" s="11" t="s">
        <v>90</v>
      </c>
      <c r="B95" s="2">
        <v>1026</v>
      </c>
      <c r="C95" s="3" t="s">
        <v>41</v>
      </c>
      <c r="D95" s="3" t="s">
        <v>41</v>
      </c>
      <c r="E95" s="4">
        <v>1026</v>
      </c>
    </row>
    <row r="96" spans="1:5" ht="27" x14ac:dyDescent="0.6">
      <c r="A96" s="11" t="s">
        <v>57</v>
      </c>
      <c r="B96" s="3">
        <v>751</v>
      </c>
      <c r="C96" s="3" t="s">
        <v>41</v>
      </c>
      <c r="D96" s="3" t="s">
        <v>41</v>
      </c>
      <c r="E96" s="7">
        <v>751</v>
      </c>
    </row>
    <row r="97" spans="1:5" x14ac:dyDescent="0.6">
      <c r="A97" s="11" t="s">
        <v>58</v>
      </c>
      <c r="B97" s="2">
        <v>-7798</v>
      </c>
      <c r="C97" s="3" t="s">
        <v>41</v>
      </c>
      <c r="D97" s="3" t="s">
        <v>41</v>
      </c>
      <c r="E97" s="4">
        <v>-7798</v>
      </c>
    </row>
    <row r="98" spans="1:5" x14ac:dyDescent="0.6">
      <c r="A98" s="11" t="s">
        <v>91</v>
      </c>
      <c r="B98" s="3">
        <v>105</v>
      </c>
      <c r="C98" s="3" t="s">
        <v>41</v>
      </c>
      <c r="D98" s="3" t="s">
        <v>41</v>
      </c>
      <c r="E98" s="7">
        <v>105</v>
      </c>
    </row>
    <row r="99" spans="1:5" x14ac:dyDescent="0.6">
      <c r="A99" s="23" t="s">
        <v>92</v>
      </c>
      <c r="B99" s="24"/>
      <c r="C99" s="24"/>
      <c r="D99" s="24"/>
      <c r="E99" s="25"/>
    </row>
    <row r="100" spans="1:5" x14ac:dyDescent="0.6">
      <c r="A100" s="11" t="s">
        <v>93</v>
      </c>
      <c r="B100" s="3">
        <v>946</v>
      </c>
      <c r="C100" s="2">
        <v>33600</v>
      </c>
      <c r="D100" s="2">
        <v>4786</v>
      </c>
      <c r="E100" s="4">
        <v>39332</v>
      </c>
    </row>
    <row r="101" spans="1:5" x14ac:dyDescent="0.6">
      <c r="A101" s="13" t="s">
        <v>63</v>
      </c>
      <c r="B101" s="5">
        <v>19912</v>
      </c>
      <c r="C101" s="5">
        <v>33600</v>
      </c>
      <c r="D101" s="5">
        <v>4786</v>
      </c>
      <c r="E101" s="6">
        <v>58298</v>
      </c>
    </row>
  </sheetData>
  <mergeCells count="10">
    <mergeCell ref="A99:E99"/>
    <mergeCell ref="A89:E89"/>
    <mergeCell ref="A91:E91"/>
    <mergeCell ref="A63:C63"/>
    <mergeCell ref="A75:E75"/>
    <mergeCell ref="A45:D45"/>
    <mergeCell ref="A31:C31"/>
    <mergeCell ref="A6:E6"/>
    <mergeCell ref="A8:E8"/>
    <mergeCell ref="A19:E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2026-06-06T08:37:04Z</dcterms:modified>
</cp:coreProperties>
</file>