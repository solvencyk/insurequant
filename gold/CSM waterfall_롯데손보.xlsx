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124A91EA-ABB1-459F-A35A-A7220637E8A2}" xr6:coauthVersionLast="47" xr6:coauthVersionMax="47" xr10:uidLastSave="{00000000-0000-0000-0000-000000000000}"/>
  <bookViews>
    <workbookView xWindow="10718" yWindow="0" windowWidth="10965" windowHeight="12863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2" l="1"/>
  <c r="H7" i="2"/>
  <c r="H6" i="2"/>
  <c r="H4" i="2"/>
  <c r="H3" i="2"/>
  <c r="H2" i="2"/>
</calcChain>
</file>

<file path=xl/sharedStrings.xml><?xml version="1.0" encoding="utf-8"?>
<sst xmlns="http://schemas.openxmlformats.org/spreadsheetml/2006/main" count="313" uniqueCount="69">
  <si>
    <t>보험취득현금흐름</t>
  </si>
  <si>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</si>
  <si>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</si>
  <si>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</si>
  <si>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</si>
  <si>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</si>
  <si>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</si>
  <si>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</si>
  <si>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</si>
  <si>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손해보험</t>
  </si>
  <si>
    <t>2025.4Q</t>
    <phoneticPr fontId="2" type="noConversion"/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</si>
  <si>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</si>
  <si>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</si>
  <si>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</si>
  <si>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</si>
  <si>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</si>
  <si>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</si>
  <si>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경험조정</t>
  </si>
  <si>
    <t>보험서비스결과</t>
  </si>
  <si>
    <t>현금흐름</t>
  </si>
  <si>
    <t>수취한 보험료</t>
  </si>
  <si>
    <t>가정 및 경험 조정 등</t>
    <phoneticPr fontId="2" type="noConversion"/>
  </si>
  <si>
    <t>보험계약부채(자산)의 보험계약 구성요소별 변동분에 대한 차이조정 공시, 배당요소가 있는 보험계약</t>
  </si>
  <si>
    <t>당기</t>
  </si>
  <si>
    <t>(단위 : 백만원)</t>
  </si>
  <si>
    <t>보험계약의 세분</t>
  </si>
  <si>
    <t>발행한 보험계약</t>
  </si>
  <si>
    <t>보험계약</t>
  </si>
  <si>
    <t>보험료배분접근법을 적용한 보험계약 외의 보험계약</t>
  </si>
  <si>
    <t>보험계약의 배당유무</t>
  </si>
  <si>
    <t>배당요소가 있는 보험계약</t>
  </si>
  <si>
    <t>계약의 유형</t>
  </si>
  <si>
    <t>장기보험</t>
  </si>
  <si>
    <t>구성요소별 보험계약</t>
  </si>
  <si>
    <t>구성요소별 보험계약  합계</t>
  </si>
  <si>
    <t>미래 현금흐름의 현재가치 추정치</t>
  </si>
  <si>
    <t>비금융위험에 대한 위험조정</t>
  </si>
  <si>
    <t>수정소급법</t>
  </si>
  <si>
    <t>공정가치법</t>
  </si>
  <si>
    <t>이 외</t>
  </si>
  <si>
    <t>기초순보험계약부채</t>
  </si>
  <si>
    <t>기초보험계약자산</t>
  </si>
  <si>
    <t>기초보험계약부채</t>
  </si>
  <si>
    <t>현행서비스 관련 변동 </t>
  </si>
  <si>
    <t>현행서비스 관련 변동</t>
  </si>
  <si>
    <t>보험계약마진 상각액</t>
  </si>
  <si>
    <t>위험조정 변동액</t>
  </si>
  <si>
    <t>미래서비스 관련 변동 </t>
  </si>
  <si>
    <t>미래서비스 관련 변동</t>
  </si>
  <si>
    <t>최초인식계약</t>
  </si>
  <si>
    <t>보험계약마진을 조정하는 추정치의 변동</t>
  </si>
  <si>
    <t>보험계약마진을 조정하지 않는 추정치의 변동</t>
  </si>
  <si>
    <t>과거서비스 관련 변동</t>
  </si>
  <si>
    <t>보험금융손익 </t>
  </si>
  <si>
    <t>당기손익으로 인식하는 보험금융수익(비용)</t>
  </si>
  <si>
    <t>기타포괄손익으로 인식하는 세전 보험금융수익(비용)</t>
  </si>
  <si>
    <t>현금흐름 </t>
  </si>
  <si>
    <t>지급 보험금 및 기타 서비스비용</t>
  </si>
  <si>
    <t>기말순보험계약부채</t>
  </si>
  <si>
    <t>기말보험계약자산</t>
  </si>
  <si>
    <t>기말보험계약부채</t>
  </si>
  <si>
    <t>전기</t>
  </si>
  <si>
    <t>보험계약부채(자산)의 보험계약 구성요소별 변동분에 대한 차이조정 공시, 배당요소가 있는 보험계약, 소계</t>
  </si>
  <si>
    <t>보험계약부채(자산)의 보험계약 구성요소별 변동분에 대한 차이조정 공시, 배당요소가 없는 보험계약</t>
  </si>
  <si>
    <t>배당요소가 없는 보험계약</t>
  </si>
  <si>
    <t>보험계약부채(자산)의 보험계약 구성요소별 변동분에 대한 차이조정 공시, 무배당보험계약, 소계</t>
  </si>
  <si>
    <t>보험계약부채(자산)의 보험계약 구성요소별 변동분에 대한 차이조정 공시, 배당요소가 없는 보험계약, 소계</t>
  </si>
  <si>
    <t>롯데손보</t>
    <phoneticPr fontId="2" type="noConversion"/>
  </si>
  <si>
    <t>KR0003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</si>
</sst>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3" fontId="1" fillId="0" borderId="0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J18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0" x14ac:dyDescent="0.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/>
    </row>
    <row r="2" spans="1:10" x14ac:dyDescent="0.6">
      <c r="A2" s="2" t="s">
        <v>68</v>
      </c>
      <c r="B2" s="2" t="s">
        <v>67</v>
      </c>
      <c r="C2" s="2"/>
      <c r="D2" s="2" t="s">
        <v>9</v>
      </c>
      <c r="E2" s="2">
        <v>1</v>
      </c>
      <c r="F2" s="2" t="s">
        <v>11</v>
      </c>
      <c r="G2" s="2" t="s">
        <v>10</v>
      </c>
      <c r="H2" s="1">
        <f>SUM(부문별!E96:G96,부문별!E14:G14)</f>
        <v>2320157</v>
      </c>
      <c r="J2" s="1"/>
    </row>
    <row r="3" spans="1:10" x14ac:dyDescent="0.6">
      <c r="A3" s="2" t="s">
        <v>68</v>
      </c>
      <c r="B3" s="2" t="s">
        <v>67</v>
      </c>
      <c r="C3" s="2"/>
      <c r="D3" s="2" t="s">
        <v>9</v>
      </c>
      <c r="E3" s="2">
        <v>2</v>
      </c>
      <c r="F3" s="2" t="s">
        <v>12</v>
      </c>
      <c r="G3" s="2" t="s">
        <v>10</v>
      </c>
      <c r="H3">
        <f>SUM(부문별!E24:G24,부문별!E106:G106)</f>
        <v>412168</v>
      </c>
      <c r="J3" s="1"/>
    </row>
    <row r="4" spans="1:10" x14ac:dyDescent="0.6">
      <c r="A4" s="2" t="s">
        <v>68</v>
      </c>
      <c r="B4" s="2" t="s">
        <v>67</v>
      </c>
      <c r="C4" s="2"/>
      <c r="D4" s="2" t="s">
        <v>9</v>
      </c>
      <c r="E4">
        <v>3</v>
      </c>
      <c r="F4" s="2" t="s">
        <v>13</v>
      </c>
      <c r="G4" t="s">
        <v>10</v>
      </c>
      <c r="H4" s="1">
        <f>SUM(부문별!E30:G31,부문별!E112:G113)</f>
        <v>91165</v>
      </c>
      <c r="J4" s="1"/>
    </row>
    <row r="5" spans="1:10" x14ac:dyDescent="0.6">
      <c r="A5" s="2" t="s">
        <v>68</v>
      </c>
      <c r="B5" s="2" t="s">
        <v>67</v>
      </c>
      <c r="C5" s="2"/>
      <c r="D5" s="2" t="s">
        <v>9</v>
      </c>
      <c r="E5" s="2">
        <v>4</v>
      </c>
      <c r="F5" s="2" t="s">
        <v>21</v>
      </c>
      <c r="G5" t="s">
        <v>10</v>
      </c>
      <c r="H5" s="1">
        <f>H7-H6-H4-H3-H2</f>
        <v>-134684</v>
      </c>
      <c r="J5" s="1"/>
    </row>
    <row r="6" spans="1:10" x14ac:dyDescent="0.6">
      <c r="A6" s="2" t="s">
        <v>68</v>
      </c>
      <c r="B6" s="2" t="s">
        <v>67</v>
      </c>
      <c r="C6" s="2"/>
      <c r="D6" s="2" t="s">
        <v>9</v>
      </c>
      <c r="E6" s="2">
        <v>5</v>
      </c>
      <c r="F6" s="2" t="s">
        <v>14</v>
      </c>
      <c r="G6" t="s">
        <v>10</v>
      </c>
      <c r="H6" s="1">
        <f>SUM(부문별!E19:G19,부문별!E101:G101)</f>
        <v>-213943</v>
      </c>
      <c r="J6" s="1"/>
    </row>
    <row r="7" spans="1:10" x14ac:dyDescent="0.6">
      <c r="A7" s="2" t="s">
        <v>68</v>
      </c>
      <c r="B7" s="2" t="s">
        <v>67</v>
      </c>
      <c r="C7" s="2"/>
      <c r="D7" s="2" t="s">
        <v>9</v>
      </c>
      <c r="E7" s="2">
        <v>6</v>
      </c>
      <c r="F7" s="2" t="s">
        <v>15</v>
      </c>
      <c r="G7" t="s">
        <v>10</v>
      </c>
      <c r="H7">
        <f>SUM(부문별!E37:G37,부문별!E119:G119)</f>
        <v>2474863</v>
      </c>
      <c r="J7" s="1"/>
    </row>
    <row r="8" spans="1:10" x14ac:dyDescent="0.6">
      <c r="A8" s="2"/>
      <c r="B8" s="2"/>
      <c r="C8" s="2"/>
      <c r="D8" s="2"/>
      <c r="H8" s="1"/>
    </row>
    <row r="9" spans="1:10" x14ac:dyDescent="0.6">
      <c r="A9" s="2"/>
      <c r="B9" s="2"/>
      <c r="C9" s="2"/>
      <c r="D9" s="2"/>
      <c r="H9" s="1"/>
    </row>
    <row r="10" spans="1:10" x14ac:dyDescent="0.6">
      <c r="A10" s="2"/>
      <c r="B10" s="2"/>
      <c r="C10" s="2"/>
      <c r="D10" s="2"/>
      <c r="H10" s="1"/>
    </row>
    <row r="11" spans="1:10" x14ac:dyDescent="0.6">
      <c r="A11" s="2"/>
      <c r="B11" s="2"/>
      <c r="C11" s="2"/>
      <c r="D11" s="2"/>
      <c r="H11" s="1"/>
    </row>
    <row r="12" spans="1:10" x14ac:dyDescent="0.6">
      <c r="A12" s="2"/>
      <c r="B12" s="2"/>
      <c r="C12" s="2"/>
      <c r="D12" s="2"/>
      <c r="H12" s="1"/>
    </row>
    <row r="13" spans="1:10" x14ac:dyDescent="0.6">
      <c r="A13" s="2"/>
      <c r="B13" s="2"/>
      <c r="C13" s="2"/>
      <c r="D13" s="2"/>
      <c r="H13" s="1"/>
    </row>
    <row r="14" spans="1:10" x14ac:dyDescent="0.6">
      <c r="A14" s="2"/>
      <c r="B14" s="2"/>
      <c r="C14" s="2"/>
      <c r="D14" s="2"/>
      <c r="H14" s="1"/>
    </row>
    <row r="15" spans="1:10" x14ac:dyDescent="0.6">
      <c r="A15" s="2"/>
      <c r="B15" s="2"/>
      <c r="C15" s="2"/>
      <c r="D15" s="2"/>
      <c r="H15" s="1"/>
    </row>
    <row r="16" spans="1:10" x14ac:dyDescent="0.6">
      <c r="A16" s="2"/>
      <c r="B16" s="2"/>
      <c r="C16" s="2"/>
      <c r="D16" s="2"/>
      <c r="H16" s="1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H241"/>
  <sheetViews>
    <sheetView zoomScale="51" workbookViewId="0">
      <pane xSplit="1" ySplit="8" topLeftCell="B36" activePane="bottomRight" state="frozen"/>
      <selection pane="topRight" activeCell="B1" sqref="B1"/>
      <selection pane="bottomLeft" activeCell="A9" sqref="A9"/>
      <selection pane="bottomRight" activeCell="K37" sqref="K37"/>
    </sheetView>
  </sheetViews>
  <sheetFormatPr defaultRowHeight="16.899999999999999" x14ac:dyDescent="0.6"/>
  <cols>
    <col min="1" max="1" width="9.75" bestFit="1" customWidth="1"/>
  </cols>
  <sheetData>
    <row r="1" spans="1:8" ht="67.5" customHeight="1" x14ac:dyDescent="0.6">
      <c r="A1" s="13" t="s">
        <v>22</v>
      </c>
      <c r="B1" s="13"/>
    </row>
    <row r="2" spans="1:8" ht="27" x14ac:dyDescent="0.6">
      <c r="A2" s="11" t="s">
        <v>23</v>
      </c>
      <c r="B2" s="12" t="s">
        <v>24</v>
      </c>
    </row>
    <row r="3" spans="1:8" x14ac:dyDescent="0.6">
      <c r="A3" s="16"/>
      <c r="B3" s="17"/>
      <c r="C3" s="20" t="s">
        <v>25</v>
      </c>
      <c r="D3" s="21"/>
      <c r="E3" s="21"/>
      <c r="F3" s="21"/>
      <c r="G3" s="21"/>
      <c r="H3" s="22"/>
    </row>
    <row r="4" spans="1:8" x14ac:dyDescent="0.6">
      <c r="A4" s="18"/>
      <c r="B4" s="14"/>
      <c r="C4" s="23" t="s">
        <v>26</v>
      </c>
      <c r="D4" s="24"/>
      <c r="E4" s="24"/>
      <c r="F4" s="24"/>
      <c r="G4" s="24"/>
      <c r="H4" s="25"/>
    </row>
    <row r="5" spans="1:8" x14ac:dyDescent="0.6">
      <c r="A5" s="18"/>
      <c r="B5" s="14"/>
      <c r="C5" s="23" t="s">
        <v>27</v>
      </c>
      <c r="D5" s="24"/>
      <c r="E5" s="24"/>
      <c r="F5" s="24"/>
      <c r="G5" s="24"/>
      <c r="H5" s="25"/>
    </row>
    <row r="6" spans="1:8" x14ac:dyDescent="0.6">
      <c r="A6" s="18"/>
      <c r="B6" s="14"/>
      <c r="C6" s="23" t="s">
        <v>28</v>
      </c>
      <c r="D6" s="24"/>
      <c r="E6" s="24"/>
      <c r="F6" s="24"/>
      <c r="G6" s="24"/>
      <c r="H6" s="25"/>
    </row>
    <row r="7" spans="1:8" x14ac:dyDescent="0.6">
      <c r="A7" s="18"/>
      <c r="B7" s="14"/>
      <c r="C7" s="23" t="s">
        <v>29</v>
      </c>
      <c r="D7" s="24"/>
      <c r="E7" s="24"/>
      <c r="F7" s="24"/>
      <c r="G7" s="24"/>
      <c r="H7" s="25"/>
    </row>
    <row r="8" spans="1:8" x14ac:dyDescent="0.6">
      <c r="A8" s="18"/>
      <c r="B8" s="14"/>
      <c r="C8" s="23" t="s">
        <v>30</v>
      </c>
      <c r="D8" s="24"/>
      <c r="E8" s="24"/>
      <c r="F8" s="24"/>
      <c r="G8" s="24"/>
      <c r="H8" s="25"/>
    </row>
    <row r="9" spans="1:8" x14ac:dyDescent="0.6">
      <c r="A9" s="18"/>
      <c r="B9" s="14"/>
      <c r="C9" s="23" t="s">
        <v>31</v>
      </c>
      <c r="D9" s="24"/>
      <c r="E9" s="24"/>
      <c r="F9" s="24"/>
      <c r="G9" s="24"/>
      <c r="H9" s="25"/>
    </row>
    <row r="10" spans="1:8" x14ac:dyDescent="0.6">
      <c r="A10" s="18"/>
      <c r="B10" s="14"/>
      <c r="C10" s="23" t="s">
        <v>32</v>
      </c>
      <c r="D10" s="24"/>
      <c r="E10" s="24"/>
      <c r="F10" s="24"/>
      <c r="G10" s="24"/>
      <c r="H10" s="25"/>
    </row>
    <row r="11" spans="1:8" x14ac:dyDescent="0.6">
      <c r="A11" s="18"/>
      <c r="B11" s="14"/>
      <c r="C11" s="23" t="s">
        <v>33</v>
      </c>
      <c r="D11" s="24"/>
      <c r="E11" s="24"/>
      <c r="F11" s="24"/>
      <c r="G11" s="26"/>
      <c r="H11" s="27" t="s">
        <v>34</v>
      </c>
    </row>
    <row r="12" spans="1:8" ht="27" customHeight="1" x14ac:dyDescent="0.6">
      <c r="A12" s="18"/>
      <c r="B12" s="14"/>
      <c r="C12" s="29" t="s">
        <v>35</v>
      </c>
      <c r="D12" s="29" t="s">
        <v>36</v>
      </c>
      <c r="E12" s="23" t="s">
        <v>16</v>
      </c>
      <c r="F12" s="24"/>
      <c r="G12" s="26"/>
      <c r="H12" s="28"/>
    </row>
    <row r="13" spans="1:8" ht="27" x14ac:dyDescent="0.6">
      <c r="A13" s="18"/>
      <c r="B13" s="14"/>
      <c r="C13" s="30"/>
      <c r="D13" s="30"/>
      <c r="E13" s="14" t="s">
        <v>37</v>
      </c>
      <c r="F13" s="14" t="s">
        <v>38</v>
      </c>
      <c r="G13" s="14" t="s">
        <v>39</v>
      </c>
      <c r="H13" s="10"/>
    </row>
    <row r="14" spans="1:8" x14ac:dyDescent="0.6">
      <c r="A14" s="31" t="s">
        <v>40</v>
      </c>
      <c r="B14" s="32"/>
      <c r="C14" s="4">
        <v>620293</v>
      </c>
      <c r="D14" s="3">
        <v>708</v>
      </c>
      <c r="E14" s="3">
        <v>0</v>
      </c>
      <c r="F14" s="4">
        <v>6047</v>
      </c>
      <c r="G14" s="3">
        <v>0</v>
      </c>
      <c r="H14" s="6">
        <v>627048</v>
      </c>
    </row>
    <row r="15" spans="1:8" x14ac:dyDescent="0.6">
      <c r="A15" s="31" t="s">
        <v>41</v>
      </c>
      <c r="B15" s="32"/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5">
        <v>0</v>
      </c>
    </row>
    <row r="16" spans="1:8" x14ac:dyDescent="0.6">
      <c r="A16" s="31" t="s">
        <v>42</v>
      </c>
      <c r="B16" s="32"/>
      <c r="C16" s="4">
        <v>620293</v>
      </c>
      <c r="D16" s="3">
        <v>708</v>
      </c>
      <c r="E16" s="3">
        <v>0</v>
      </c>
      <c r="F16" s="4">
        <v>6047</v>
      </c>
      <c r="G16" s="3">
        <v>0</v>
      </c>
      <c r="H16" s="6">
        <v>627048</v>
      </c>
    </row>
    <row r="17" spans="1:8" ht="27" customHeight="1" x14ac:dyDescent="0.6">
      <c r="A17" s="31" t="s">
        <v>43</v>
      </c>
      <c r="B17" s="32"/>
      <c r="C17" s="15"/>
      <c r="D17" s="15"/>
      <c r="E17" s="15"/>
      <c r="F17" s="15"/>
      <c r="G17" s="15"/>
      <c r="H17" s="19"/>
    </row>
    <row r="18" spans="1:8" ht="40.5" x14ac:dyDescent="0.6">
      <c r="A18" s="33" t="s">
        <v>43</v>
      </c>
      <c r="B18" s="15" t="s">
        <v>44</v>
      </c>
      <c r="C18" s="3">
        <v>-4</v>
      </c>
      <c r="D18" s="3">
        <v>-52</v>
      </c>
      <c r="E18" s="3">
        <v>0</v>
      </c>
      <c r="F18" s="3">
        <v>-980</v>
      </c>
      <c r="G18" s="3">
        <v>0</v>
      </c>
      <c r="H18" s="6">
        <v>-1036</v>
      </c>
    </row>
    <row r="19" spans="1:8" ht="40.5" x14ac:dyDescent="0.6">
      <c r="A19" s="34"/>
      <c r="B19" s="15" t="s">
        <v>45</v>
      </c>
      <c r="C19" s="3">
        <v>0</v>
      </c>
      <c r="D19" s="3">
        <v>0</v>
      </c>
      <c r="E19" s="3">
        <v>0</v>
      </c>
      <c r="F19" s="3">
        <v>-980</v>
      </c>
      <c r="G19" s="3">
        <v>0</v>
      </c>
      <c r="H19" s="5">
        <v>-980</v>
      </c>
    </row>
    <row r="20" spans="1:8" ht="27" x14ac:dyDescent="0.6">
      <c r="A20" s="34"/>
      <c r="B20" s="15" t="s">
        <v>46</v>
      </c>
      <c r="C20" s="3">
        <v>0</v>
      </c>
      <c r="D20" s="3">
        <v>-52</v>
      </c>
      <c r="E20" s="3">
        <v>0</v>
      </c>
      <c r="F20" s="3">
        <v>0</v>
      </c>
      <c r="G20" s="3">
        <v>0</v>
      </c>
      <c r="H20" s="5">
        <v>-52</v>
      </c>
    </row>
    <row r="21" spans="1:8" x14ac:dyDescent="0.6">
      <c r="A21" s="35"/>
      <c r="B21" s="15" t="s">
        <v>17</v>
      </c>
      <c r="C21" s="3">
        <v>-4</v>
      </c>
      <c r="D21" s="3">
        <v>0</v>
      </c>
      <c r="E21" s="3">
        <v>0</v>
      </c>
      <c r="F21" s="3">
        <v>0</v>
      </c>
      <c r="G21" s="3">
        <v>0</v>
      </c>
      <c r="H21" s="5">
        <v>-4</v>
      </c>
    </row>
    <row r="22" spans="1:8" ht="27" customHeight="1" x14ac:dyDescent="0.6">
      <c r="A22" s="31" t="s">
        <v>47</v>
      </c>
      <c r="B22" s="32"/>
      <c r="C22" s="15"/>
      <c r="D22" s="15"/>
      <c r="E22" s="15"/>
      <c r="F22" s="15"/>
      <c r="G22" s="15"/>
      <c r="H22" s="19"/>
    </row>
    <row r="23" spans="1:8" ht="40.5" x14ac:dyDescent="0.6">
      <c r="A23" s="33" t="s">
        <v>47</v>
      </c>
      <c r="B23" s="15" t="s">
        <v>48</v>
      </c>
      <c r="C23" s="4">
        <v>-8073</v>
      </c>
      <c r="D23" s="3">
        <v>-274</v>
      </c>
      <c r="E23" s="3">
        <v>0</v>
      </c>
      <c r="F23" s="4">
        <v>7535</v>
      </c>
      <c r="G23" s="3">
        <v>0</v>
      </c>
      <c r="H23" s="5">
        <v>-812</v>
      </c>
    </row>
    <row r="24" spans="1:8" ht="27" x14ac:dyDescent="0.6">
      <c r="A24" s="34"/>
      <c r="B24" s="15" t="s">
        <v>49</v>
      </c>
      <c r="C24" s="3">
        <v>510</v>
      </c>
      <c r="D24" s="3">
        <v>13</v>
      </c>
      <c r="E24" s="3">
        <v>0</v>
      </c>
      <c r="F24" s="3">
        <v>0</v>
      </c>
      <c r="G24" s="3">
        <v>0</v>
      </c>
      <c r="H24" s="5">
        <v>523</v>
      </c>
    </row>
    <row r="25" spans="1:8" ht="67.5" x14ac:dyDescent="0.6">
      <c r="A25" s="34"/>
      <c r="B25" s="15" t="s">
        <v>50</v>
      </c>
      <c r="C25" s="4">
        <v>-7314</v>
      </c>
      <c r="D25" s="3">
        <v>-221</v>
      </c>
      <c r="E25" s="3">
        <v>0</v>
      </c>
      <c r="F25" s="4">
        <v>7535</v>
      </c>
      <c r="G25" s="3">
        <v>0</v>
      </c>
      <c r="H25" s="5">
        <v>0</v>
      </c>
    </row>
    <row r="26" spans="1:8" ht="67.5" x14ac:dyDescent="0.6">
      <c r="A26" s="35"/>
      <c r="B26" s="15" t="s">
        <v>51</v>
      </c>
      <c r="C26" s="4">
        <v>-1269</v>
      </c>
      <c r="D26" s="3">
        <v>-66</v>
      </c>
      <c r="E26" s="3">
        <v>0</v>
      </c>
      <c r="F26" s="3">
        <v>0</v>
      </c>
      <c r="G26" s="3">
        <v>0</v>
      </c>
      <c r="H26" s="6">
        <v>-1335</v>
      </c>
    </row>
    <row r="27" spans="1:8" x14ac:dyDescent="0.6">
      <c r="A27" s="31" t="s">
        <v>52</v>
      </c>
      <c r="B27" s="32"/>
      <c r="C27" s="3">
        <v>-49</v>
      </c>
      <c r="D27" s="3">
        <v>-4</v>
      </c>
      <c r="E27" s="3">
        <v>0</v>
      </c>
      <c r="F27" s="3">
        <v>0</v>
      </c>
      <c r="G27" s="3">
        <v>0</v>
      </c>
      <c r="H27" s="5">
        <v>-53</v>
      </c>
    </row>
    <row r="28" spans="1:8" x14ac:dyDescent="0.6">
      <c r="A28" s="31" t="s">
        <v>18</v>
      </c>
      <c r="B28" s="32"/>
      <c r="C28" s="4">
        <v>-8126</v>
      </c>
      <c r="D28" s="3">
        <v>-330</v>
      </c>
      <c r="E28" s="3">
        <v>0</v>
      </c>
      <c r="F28" s="4">
        <v>6555</v>
      </c>
      <c r="G28" s="3">
        <v>0</v>
      </c>
      <c r="H28" s="6">
        <v>-1901</v>
      </c>
    </row>
    <row r="29" spans="1:8" x14ac:dyDescent="0.6">
      <c r="A29" s="31" t="s">
        <v>53</v>
      </c>
      <c r="B29" s="32"/>
      <c r="C29" s="15"/>
      <c r="D29" s="15"/>
      <c r="E29" s="15"/>
      <c r="F29" s="15"/>
      <c r="G29" s="15"/>
      <c r="H29" s="19"/>
    </row>
    <row r="30" spans="1:8" ht="67.5" x14ac:dyDescent="0.6">
      <c r="A30" s="33" t="s">
        <v>53</v>
      </c>
      <c r="B30" s="15" t="s">
        <v>54</v>
      </c>
      <c r="C30" s="4">
        <v>12488</v>
      </c>
      <c r="D30" s="3">
        <v>0</v>
      </c>
      <c r="E30" s="3">
        <v>0</v>
      </c>
      <c r="F30" s="3">
        <v>226</v>
      </c>
      <c r="G30" s="3">
        <v>0</v>
      </c>
      <c r="H30" s="6">
        <v>12714</v>
      </c>
    </row>
    <row r="31" spans="1:8" ht="81" x14ac:dyDescent="0.6">
      <c r="A31" s="35"/>
      <c r="B31" s="15" t="s">
        <v>55</v>
      </c>
      <c r="C31" s="4">
        <v>-4627</v>
      </c>
      <c r="D31" s="3">
        <v>0</v>
      </c>
      <c r="E31" s="3">
        <v>0</v>
      </c>
      <c r="F31" s="3">
        <v>0</v>
      </c>
      <c r="G31" s="3">
        <v>0</v>
      </c>
      <c r="H31" s="6">
        <v>-4627</v>
      </c>
    </row>
    <row r="32" spans="1:8" x14ac:dyDescent="0.6">
      <c r="A32" s="31" t="s">
        <v>56</v>
      </c>
      <c r="B32" s="32"/>
      <c r="C32" s="15"/>
      <c r="D32" s="15"/>
      <c r="E32" s="15"/>
      <c r="F32" s="15"/>
      <c r="G32" s="15"/>
      <c r="H32" s="19"/>
    </row>
    <row r="33" spans="1:8" x14ac:dyDescent="0.6">
      <c r="A33" s="33" t="s">
        <v>56</v>
      </c>
      <c r="B33" s="15" t="s">
        <v>19</v>
      </c>
      <c r="C33" s="4">
        <v>-43686</v>
      </c>
      <c r="D33" s="3">
        <v>0</v>
      </c>
      <c r="E33" s="3">
        <v>0</v>
      </c>
      <c r="F33" s="3">
        <v>0</v>
      </c>
      <c r="G33" s="3">
        <v>0</v>
      </c>
      <c r="H33" s="6">
        <v>-43686</v>
      </c>
    </row>
    <row r="34" spans="1:8" ht="27" x14ac:dyDescent="0.6">
      <c r="A34" s="34"/>
      <c r="B34" s="15" t="s">
        <v>20</v>
      </c>
      <c r="C34" s="4">
        <v>30231</v>
      </c>
      <c r="D34" s="3">
        <v>0</v>
      </c>
      <c r="E34" s="3">
        <v>0</v>
      </c>
      <c r="F34" s="3">
        <v>0</v>
      </c>
      <c r="G34" s="3">
        <v>0</v>
      </c>
      <c r="H34" s="6">
        <v>30231</v>
      </c>
    </row>
    <row r="35" spans="1:8" ht="27" x14ac:dyDescent="0.6">
      <c r="A35" s="34"/>
      <c r="B35" s="15" t="s">
        <v>0</v>
      </c>
      <c r="C35" s="3">
        <v>-232</v>
      </c>
      <c r="D35" s="3">
        <v>0</v>
      </c>
      <c r="E35" s="3">
        <v>0</v>
      </c>
      <c r="F35" s="3">
        <v>0</v>
      </c>
      <c r="G35" s="3">
        <v>0</v>
      </c>
      <c r="H35" s="5">
        <v>-232</v>
      </c>
    </row>
    <row r="36" spans="1:8" ht="54" x14ac:dyDescent="0.6">
      <c r="A36" s="35"/>
      <c r="B36" s="15" t="s">
        <v>57</v>
      </c>
      <c r="C36" s="4">
        <v>-73685</v>
      </c>
      <c r="D36" s="3">
        <v>0</v>
      </c>
      <c r="E36" s="3">
        <v>0</v>
      </c>
      <c r="F36" s="3">
        <v>0</v>
      </c>
      <c r="G36" s="3">
        <v>0</v>
      </c>
      <c r="H36" s="6">
        <v>-73685</v>
      </c>
    </row>
    <row r="37" spans="1:8" x14ac:dyDescent="0.6">
      <c r="A37" s="31" t="s">
        <v>58</v>
      </c>
      <c r="B37" s="32"/>
      <c r="C37" s="4">
        <v>576342</v>
      </c>
      <c r="D37" s="3">
        <v>378</v>
      </c>
      <c r="E37" s="3">
        <v>0</v>
      </c>
      <c r="F37" s="4">
        <v>12828</v>
      </c>
      <c r="G37" s="3">
        <v>0</v>
      </c>
      <c r="H37" s="6">
        <v>589548</v>
      </c>
    </row>
    <row r="38" spans="1:8" x14ac:dyDescent="0.6">
      <c r="A38" s="31" t="s">
        <v>59</v>
      </c>
      <c r="B38" s="32"/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5">
        <v>0</v>
      </c>
    </row>
    <row r="39" spans="1:8" x14ac:dyDescent="0.6">
      <c r="A39" s="36" t="s">
        <v>60</v>
      </c>
      <c r="B39" s="37"/>
      <c r="C39" s="7">
        <v>576342</v>
      </c>
      <c r="D39" s="8">
        <v>378</v>
      </c>
      <c r="E39" s="8">
        <v>0</v>
      </c>
      <c r="F39" s="7">
        <v>12828</v>
      </c>
      <c r="G39" s="8">
        <v>0</v>
      </c>
      <c r="H39" s="9">
        <v>589548</v>
      </c>
    </row>
    <row r="40" spans="1:8" x14ac:dyDescent="0.6">
      <c r="A40" s="11"/>
    </row>
    <row r="41" spans="1:8" x14ac:dyDescent="0.6">
      <c r="A41" s="11"/>
    </row>
    <row r="42" spans="1:8" x14ac:dyDescent="0.6">
      <c r="A42" s="11"/>
    </row>
    <row r="43" spans="1:8" ht="67.5" customHeight="1" x14ac:dyDescent="0.6">
      <c r="A43" s="13" t="s">
        <v>62</v>
      </c>
      <c r="B43" s="13"/>
    </row>
    <row r="44" spans="1:8" ht="27" x14ac:dyDescent="0.6">
      <c r="A44" s="11" t="s">
        <v>23</v>
      </c>
      <c r="B44" s="12" t="s">
        <v>24</v>
      </c>
    </row>
    <row r="45" spans="1:8" ht="27" x14ac:dyDescent="0.6">
      <c r="A45" s="16"/>
      <c r="B45" s="17"/>
      <c r="C45" s="38" t="s">
        <v>25</v>
      </c>
    </row>
    <row r="46" spans="1:8" ht="27" x14ac:dyDescent="0.6">
      <c r="A46" s="18"/>
      <c r="B46" s="14"/>
      <c r="C46" s="39" t="s">
        <v>26</v>
      </c>
    </row>
    <row r="47" spans="1:8" x14ac:dyDescent="0.6">
      <c r="A47" s="18"/>
      <c r="B47" s="14"/>
      <c r="C47" s="39" t="s">
        <v>27</v>
      </c>
    </row>
    <row r="48" spans="1:8" ht="81" x14ac:dyDescent="0.6">
      <c r="A48" s="18"/>
      <c r="B48" s="14"/>
      <c r="C48" s="39" t="s">
        <v>28</v>
      </c>
    </row>
    <row r="49" spans="1:3" ht="40.5" x14ac:dyDescent="0.6">
      <c r="A49" s="18"/>
      <c r="B49" s="14"/>
      <c r="C49" s="39" t="s">
        <v>29</v>
      </c>
    </row>
    <row r="50" spans="1:3" ht="40.5" x14ac:dyDescent="0.6">
      <c r="A50" s="18"/>
      <c r="B50" s="14"/>
      <c r="C50" s="39" t="s">
        <v>30</v>
      </c>
    </row>
    <row r="51" spans="1:3" ht="27" x14ac:dyDescent="0.6">
      <c r="A51" s="18"/>
      <c r="B51" s="14"/>
      <c r="C51" s="39" t="s">
        <v>31</v>
      </c>
    </row>
    <row r="52" spans="1:3" x14ac:dyDescent="0.6">
      <c r="A52" s="18"/>
      <c r="B52" s="14"/>
      <c r="C52" s="39" t="s">
        <v>32</v>
      </c>
    </row>
    <row r="53" spans="1:3" ht="40.5" x14ac:dyDescent="0.6">
      <c r="A53" s="18"/>
      <c r="B53" s="14"/>
      <c r="C53" s="39" t="s">
        <v>33</v>
      </c>
    </row>
    <row r="54" spans="1:3" ht="27" x14ac:dyDescent="0.6">
      <c r="A54" s="18"/>
      <c r="B54" s="14"/>
      <c r="C54" s="39" t="s">
        <v>16</v>
      </c>
    </row>
    <row r="55" spans="1:3" x14ac:dyDescent="0.6">
      <c r="A55" s="31" t="s">
        <v>40</v>
      </c>
      <c r="B55" s="32"/>
      <c r="C55" s="6">
        <v>6047</v>
      </c>
    </row>
    <row r="56" spans="1:3" x14ac:dyDescent="0.6">
      <c r="A56" s="31" t="s">
        <v>41</v>
      </c>
      <c r="B56" s="32"/>
      <c r="C56" s="5">
        <v>0</v>
      </c>
    </row>
    <row r="57" spans="1:3" x14ac:dyDescent="0.6">
      <c r="A57" s="31" t="s">
        <v>42</v>
      </c>
      <c r="B57" s="32"/>
      <c r="C57" s="6">
        <v>6047</v>
      </c>
    </row>
    <row r="58" spans="1:3" ht="27" customHeight="1" x14ac:dyDescent="0.6">
      <c r="A58" s="31" t="s">
        <v>43</v>
      </c>
      <c r="B58" s="32"/>
      <c r="C58" s="19"/>
    </row>
    <row r="59" spans="1:3" ht="40.5" x14ac:dyDescent="0.6">
      <c r="A59" s="33" t="s">
        <v>43</v>
      </c>
      <c r="B59" s="15" t="s">
        <v>44</v>
      </c>
      <c r="C59" s="5">
        <v>-980</v>
      </c>
    </row>
    <row r="60" spans="1:3" ht="40.5" x14ac:dyDescent="0.6">
      <c r="A60" s="34"/>
      <c r="B60" s="15" t="s">
        <v>45</v>
      </c>
      <c r="C60" s="5">
        <v>-980</v>
      </c>
    </row>
    <row r="61" spans="1:3" ht="27" x14ac:dyDescent="0.6">
      <c r="A61" s="34"/>
      <c r="B61" s="15" t="s">
        <v>46</v>
      </c>
      <c r="C61" s="5">
        <v>0</v>
      </c>
    </row>
    <row r="62" spans="1:3" x14ac:dyDescent="0.6">
      <c r="A62" s="35"/>
      <c r="B62" s="15" t="s">
        <v>17</v>
      </c>
      <c r="C62" s="5">
        <v>0</v>
      </c>
    </row>
    <row r="63" spans="1:3" ht="27" customHeight="1" x14ac:dyDescent="0.6">
      <c r="A63" s="31" t="s">
        <v>47</v>
      </c>
      <c r="B63" s="32"/>
      <c r="C63" s="19"/>
    </row>
    <row r="64" spans="1:3" ht="40.5" x14ac:dyDescent="0.6">
      <c r="A64" s="33" t="s">
        <v>47</v>
      </c>
      <c r="B64" s="15" t="s">
        <v>48</v>
      </c>
      <c r="C64" s="6">
        <v>7535</v>
      </c>
    </row>
    <row r="65" spans="1:3" ht="27" x14ac:dyDescent="0.6">
      <c r="A65" s="34"/>
      <c r="B65" s="15" t="s">
        <v>49</v>
      </c>
      <c r="C65" s="5">
        <v>0</v>
      </c>
    </row>
    <row r="66" spans="1:3" ht="67.5" x14ac:dyDescent="0.6">
      <c r="A66" s="34"/>
      <c r="B66" s="15" t="s">
        <v>50</v>
      </c>
      <c r="C66" s="6">
        <v>7535</v>
      </c>
    </row>
    <row r="67" spans="1:3" ht="67.5" x14ac:dyDescent="0.6">
      <c r="A67" s="35"/>
      <c r="B67" s="15" t="s">
        <v>51</v>
      </c>
      <c r="C67" s="5">
        <v>0</v>
      </c>
    </row>
    <row r="68" spans="1:3" x14ac:dyDescent="0.6">
      <c r="A68" s="31" t="s">
        <v>52</v>
      </c>
      <c r="B68" s="32"/>
      <c r="C68" s="5">
        <v>0</v>
      </c>
    </row>
    <row r="69" spans="1:3" x14ac:dyDescent="0.6">
      <c r="A69" s="31" t="s">
        <v>18</v>
      </c>
      <c r="B69" s="32"/>
      <c r="C69" s="6">
        <v>6555</v>
      </c>
    </row>
    <row r="70" spans="1:3" x14ac:dyDescent="0.6">
      <c r="A70" s="31" t="s">
        <v>53</v>
      </c>
      <c r="B70" s="32"/>
      <c r="C70" s="19"/>
    </row>
    <row r="71" spans="1:3" ht="67.5" x14ac:dyDescent="0.6">
      <c r="A71" s="33" t="s">
        <v>53</v>
      </c>
      <c r="B71" s="15" t="s">
        <v>54</v>
      </c>
      <c r="C71" s="5">
        <v>226</v>
      </c>
    </row>
    <row r="72" spans="1:3" ht="81" x14ac:dyDescent="0.6">
      <c r="A72" s="35"/>
      <c r="B72" s="15" t="s">
        <v>55</v>
      </c>
      <c r="C72" s="5">
        <v>0</v>
      </c>
    </row>
    <row r="73" spans="1:3" x14ac:dyDescent="0.6">
      <c r="A73" s="31" t="s">
        <v>56</v>
      </c>
      <c r="B73" s="32"/>
      <c r="C73" s="19"/>
    </row>
    <row r="74" spans="1:3" x14ac:dyDescent="0.6">
      <c r="A74" s="33" t="s">
        <v>56</v>
      </c>
      <c r="B74" s="15" t="s">
        <v>19</v>
      </c>
      <c r="C74" s="5">
        <v>0</v>
      </c>
    </row>
    <row r="75" spans="1:3" ht="27" x14ac:dyDescent="0.6">
      <c r="A75" s="34"/>
      <c r="B75" s="15" t="s">
        <v>20</v>
      </c>
      <c r="C75" s="5">
        <v>0</v>
      </c>
    </row>
    <row r="76" spans="1:3" ht="27" x14ac:dyDescent="0.6">
      <c r="A76" s="34"/>
      <c r="B76" s="15" t="s">
        <v>0</v>
      </c>
      <c r="C76" s="5">
        <v>0</v>
      </c>
    </row>
    <row r="77" spans="1:3" ht="54" x14ac:dyDescent="0.6">
      <c r="A77" s="35"/>
      <c r="B77" s="15" t="s">
        <v>57</v>
      </c>
      <c r="C77" s="5">
        <v>0</v>
      </c>
    </row>
    <row r="78" spans="1:3" x14ac:dyDescent="0.6">
      <c r="A78" s="31" t="s">
        <v>58</v>
      </c>
      <c r="B78" s="32"/>
      <c r="C78" s="6">
        <v>12828</v>
      </c>
    </row>
    <row r="79" spans="1:3" x14ac:dyDescent="0.6">
      <c r="A79" s="31" t="s">
        <v>59</v>
      </c>
      <c r="B79" s="32"/>
      <c r="C79" s="5">
        <v>0</v>
      </c>
    </row>
    <row r="80" spans="1:3" x14ac:dyDescent="0.6">
      <c r="A80" s="36" t="s">
        <v>60</v>
      </c>
      <c r="B80" s="37"/>
      <c r="C80" s="9">
        <v>12828</v>
      </c>
    </row>
    <row r="81" spans="1:8" x14ac:dyDescent="0.6">
      <c r="A81" s="40"/>
      <c r="B81" s="40"/>
      <c r="C81" s="41"/>
    </row>
    <row r="82" spans="1:8" x14ac:dyDescent="0.6">
      <c r="A82" s="11"/>
    </row>
    <row r="83" spans="1:8" ht="67.5" customHeight="1" x14ac:dyDescent="0.6">
      <c r="A83" s="13" t="s">
        <v>63</v>
      </c>
      <c r="B83" s="13"/>
    </row>
    <row r="84" spans="1:8" ht="27" x14ac:dyDescent="0.6">
      <c r="A84" s="11" t="s">
        <v>23</v>
      </c>
      <c r="B84" s="12" t="s">
        <v>24</v>
      </c>
    </row>
    <row r="85" spans="1:8" x14ac:dyDescent="0.6">
      <c r="A85" s="16"/>
      <c r="B85" s="17"/>
      <c r="C85" s="20" t="s">
        <v>25</v>
      </c>
      <c r="D85" s="21"/>
      <c r="E85" s="21"/>
      <c r="F85" s="21"/>
      <c r="G85" s="21"/>
      <c r="H85" s="22"/>
    </row>
    <row r="86" spans="1:8" x14ac:dyDescent="0.6">
      <c r="A86" s="18"/>
      <c r="B86" s="14"/>
      <c r="C86" s="23" t="s">
        <v>26</v>
      </c>
      <c r="D86" s="24"/>
      <c r="E86" s="24"/>
      <c r="F86" s="24"/>
      <c r="G86" s="24"/>
      <c r="H86" s="25"/>
    </row>
    <row r="87" spans="1:8" x14ac:dyDescent="0.6">
      <c r="A87" s="18"/>
      <c r="B87" s="14"/>
      <c r="C87" s="23" t="s">
        <v>27</v>
      </c>
      <c r="D87" s="24"/>
      <c r="E87" s="24"/>
      <c r="F87" s="24"/>
      <c r="G87" s="24"/>
      <c r="H87" s="25"/>
    </row>
    <row r="88" spans="1:8" x14ac:dyDescent="0.6">
      <c r="A88" s="18"/>
      <c r="B88" s="14"/>
      <c r="C88" s="23" t="s">
        <v>28</v>
      </c>
      <c r="D88" s="24"/>
      <c r="E88" s="24"/>
      <c r="F88" s="24"/>
      <c r="G88" s="24"/>
      <c r="H88" s="25"/>
    </row>
    <row r="89" spans="1:8" x14ac:dyDescent="0.6">
      <c r="A89" s="18"/>
      <c r="B89" s="14"/>
      <c r="C89" s="23" t="s">
        <v>29</v>
      </c>
      <c r="D89" s="24"/>
      <c r="E89" s="24"/>
      <c r="F89" s="24"/>
      <c r="G89" s="24"/>
      <c r="H89" s="25"/>
    </row>
    <row r="90" spans="1:8" x14ac:dyDescent="0.6">
      <c r="A90" s="18"/>
      <c r="B90" s="14"/>
      <c r="C90" s="23" t="s">
        <v>64</v>
      </c>
      <c r="D90" s="24"/>
      <c r="E90" s="24"/>
      <c r="F90" s="24"/>
      <c r="G90" s="24"/>
      <c r="H90" s="25"/>
    </row>
    <row r="91" spans="1:8" x14ac:dyDescent="0.6">
      <c r="A91" s="18"/>
      <c r="B91" s="14"/>
      <c r="C91" s="23" t="s">
        <v>31</v>
      </c>
      <c r="D91" s="24"/>
      <c r="E91" s="24"/>
      <c r="F91" s="24"/>
      <c r="G91" s="24"/>
      <c r="H91" s="25"/>
    </row>
    <row r="92" spans="1:8" x14ac:dyDescent="0.6">
      <c r="A92" s="18"/>
      <c r="B92" s="14"/>
      <c r="C92" s="23" t="s">
        <v>32</v>
      </c>
      <c r="D92" s="24"/>
      <c r="E92" s="24"/>
      <c r="F92" s="24"/>
      <c r="G92" s="24"/>
      <c r="H92" s="25"/>
    </row>
    <row r="93" spans="1:8" x14ac:dyDescent="0.6">
      <c r="A93" s="18"/>
      <c r="B93" s="14"/>
      <c r="C93" s="23" t="s">
        <v>33</v>
      </c>
      <c r="D93" s="24"/>
      <c r="E93" s="24"/>
      <c r="F93" s="24"/>
      <c r="G93" s="26"/>
      <c r="H93" s="27" t="s">
        <v>34</v>
      </c>
    </row>
    <row r="94" spans="1:8" ht="27" customHeight="1" x14ac:dyDescent="0.6">
      <c r="A94" s="18"/>
      <c r="B94" s="14"/>
      <c r="C94" s="29" t="s">
        <v>35</v>
      </c>
      <c r="D94" s="29" t="s">
        <v>36</v>
      </c>
      <c r="E94" s="23" t="s">
        <v>16</v>
      </c>
      <c r="F94" s="24"/>
      <c r="G94" s="26"/>
      <c r="H94" s="28"/>
    </row>
    <row r="95" spans="1:8" ht="27" x14ac:dyDescent="0.6">
      <c r="A95" s="18"/>
      <c r="B95" s="14"/>
      <c r="C95" s="30"/>
      <c r="D95" s="30"/>
      <c r="E95" s="14" t="s">
        <v>37</v>
      </c>
      <c r="F95" s="14" t="s">
        <v>38</v>
      </c>
      <c r="G95" s="14" t="s">
        <v>39</v>
      </c>
      <c r="H95" s="10"/>
    </row>
    <row r="96" spans="1:8" x14ac:dyDescent="0.6">
      <c r="A96" s="31" t="s">
        <v>40</v>
      </c>
      <c r="B96" s="32"/>
      <c r="C96" s="4">
        <v>2113263</v>
      </c>
      <c r="D96" s="4">
        <v>444755</v>
      </c>
      <c r="E96" s="4">
        <v>682795</v>
      </c>
      <c r="F96" s="4">
        <v>582662</v>
      </c>
      <c r="G96" s="4">
        <v>1048653</v>
      </c>
      <c r="H96" s="6">
        <v>4872128</v>
      </c>
    </row>
    <row r="97" spans="1:8" x14ac:dyDescent="0.6">
      <c r="A97" s="31" t="s">
        <v>41</v>
      </c>
      <c r="B97" s="32"/>
      <c r="C97" s="4">
        <v>248793</v>
      </c>
      <c r="D97" s="4">
        <v>-34837</v>
      </c>
      <c r="E97" s="4">
        <v>-23865</v>
      </c>
      <c r="F97" s="3">
        <v>-974</v>
      </c>
      <c r="G97" s="4">
        <v>-42545</v>
      </c>
      <c r="H97" s="6">
        <v>146572</v>
      </c>
    </row>
    <row r="98" spans="1:8" x14ac:dyDescent="0.6">
      <c r="A98" s="31" t="s">
        <v>42</v>
      </c>
      <c r="B98" s="32"/>
      <c r="C98" s="4">
        <v>2362056</v>
      </c>
      <c r="D98" s="4">
        <v>409918</v>
      </c>
      <c r="E98" s="4">
        <v>658930</v>
      </c>
      <c r="F98" s="4">
        <v>581688</v>
      </c>
      <c r="G98" s="4">
        <v>1006108</v>
      </c>
      <c r="H98" s="6">
        <v>5018700</v>
      </c>
    </row>
    <row r="99" spans="1:8" ht="27" customHeight="1" x14ac:dyDescent="0.6">
      <c r="A99" s="31" t="s">
        <v>43</v>
      </c>
      <c r="B99" s="32"/>
      <c r="C99" s="15"/>
      <c r="D99" s="15"/>
      <c r="E99" s="15"/>
      <c r="F99" s="15"/>
      <c r="G99" s="15"/>
      <c r="H99" s="19"/>
    </row>
    <row r="100" spans="1:8" ht="40.5" x14ac:dyDescent="0.6">
      <c r="A100" s="33" t="s">
        <v>43</v>
      </c>
      <c r="B100" s="15" t="s">
        <v>44</v>
      </c>
      <c r="C100" s="4">
        <v>43632</v>
      </c>
      <c r="D100" s="3">
        <v>202</v>
      </c>
      <c r="E100" s="4">
        <v>-60956</v>
      </c>
      <c r="F100" s="4">
        <v>-47955</v>
      </c>
      <c r="G100" s="4">
        <v>-104052</v>
      </c>
      <c r="H100" s="6">
        <v>-169129</v>
      </c>
    </row>
    <row r="101" spans="1:8" ht="40.5" x14ac:dyDescent="0.6">
      <c r="A101" s="34"/>
      <c r="B101" s="15" t="s">
        <v>45</v>
      </c>
      <c r="C101" s="3">
        <v>0</v>
      </c>
      <c r="D101" s="3">
        <v>0</v>
      </c>
      <c r="E101" s="4">
        <v>-60956</v>
      </c>
      <c r="F101" s="4">
        <v>-47955</v>
      </c>
      <c r="G101" s="4">
        <v>-104052</v>
      </c>
      <c r="H101" s="6">
        <v>-212963</v>
      </c>
    </row>
    <row r="102" spans="1:8" ht="27" x14ac:dyDescent="0.6">
      <c r="A102" s="34"/>
      <c r="B102" s="15" t="s">
        <v>46</v>
      </c>
      <c r="C102" s="3">
        <v>0</v>
      </c>
      <c r="D102" s="3">
        <v>202</v>
      </c>
      <c r="E102" s="3">
        <v>0</v>
      </c>
      <c r="F102" s="3">
        <v>0</v>
      </c>
      <c r="G102" s="3">
        <v>0</v>
      </c>
      <c r="H102" s="5">
        <v>202</v>
      </c>
    </row>
    <row r="103" spans="1:8" x14ac:dyDescent="0.6">
      <c r="A103" s="35"/>
      <c r="B103" s="15" t="s">
        <v>17</v>
      </c>
      <c r="C103" s="4">
        <v>43632</v>
      </c>
      <c r="D103" s="3">
        <v>0</v>
      </c>
      <c r="E103" s="3">
        <v>0</v>
      </c>
      <c r="F103" s="3">
        <v>0</v>
      </c>
      <c r="G103" s="3">
        <v>0</v>
      </c>
      <c r="H103" s="6">
        <v>43632</v>
      </c>
    </row>
    <row r="104" spans="1:8" ht="27" customHeight="1" x14ac:dyDescent="0.6">
      <c r="A104" s="31" t="s">
        <v>47</v>
      </c>
      <c r="B104" s="32"/>
      <c r="C104" s="15"/>
      <c r="D104" s="15"/>
      <c r="E104" s="15"/>
      <c r="F104" s="15"/>
      <c r="G104" s="15"/>
      <c r="H104" s="19"/>
    </row>
    <row r="105" spans="1:8" ht="40.5" x14ac:dyDescent="0.6">
      <c r="A105" s="33" t="s">
        <v>47</v>
      </c>
      <c r="B105" s="15" t="s">
        <v>48</v>
      </c>
      <c r="C105" s="4">
        <v>-180952</v>
      </c>
      <c r="D105" s="4">
        <v>15415</v>
      </c>
      <c r="E105" s="4">
        <v>146080</v>
      </c>
      <c r="F105" s="3">
        <v>458</v>
      </c>
      <c r="G105" s="4">
        <v>123411</v>
      </c>
      <c r="H105" s="6">
        <v>104412</v>
      </c>
    </row>
    <row r="106" spans="1:8" ht="27" x14ac:dyDescent="0.6">
      <c r="A106" s="34"/>
      <c r="B106" s="15" t="s">
        <v>49</v>
      </c>
      <c r="C106" s="4">
        <v>-455224</v>
      </c>
      <c r="D106" s="4">
        <v>59091</v>
      </c>
      <c r="E106" s="3">
        <v>0</v>
      </c>
      <c r="F106" s="3">
        <v>0</v>
      </c>
      <c r="G106" s="4">
        <v>412168</v>
      </c>
      <c r="H106" s="6">
        <v>16035</v>
      </c>
    </row>
    <row r="107" spans="1:8" ht="67.5" x14ac:dyDescent="0.6">
      <c r="A107" s="34"/>
      <c r="B107" s="15" t="s">
        <v>50</v>
      </c>
      <c r="C107" s="4">
        <v>187388</v>
      </c>
      <c r="D107" s="4">
        <v>-45169</v>
      </c>
      <c r="E107" s="4">
        <v>146080</v>
      </c>
      <c r="F107" s="3">
        <v>458</v>
      </c>
      <c r="G107" s="4">
        <v>-288757</v>
      </c>
      <c r="H107" s="5">
        <v>0</v>
      </c>
    </row>
    <row r="108" spans="1:8" ht="67.5" x14ac:dyDescent="0.6">
      <c r="A108" s="35"/>
      <c r="B108" s="15" t="s">
        <v>51</v>
      </c>
      <c r="C108" s="4">
        <v>86884</v>
      </c>
      <c r="D108" s="4">
        <v>1493</v>
      </c>
      <c r="E108" s="3">
        <v>0</v>
      </c>
      <c r="F108" s="3">
        <v>0</v>
      </c>
      <c r="G108" s="3">
        <v>0</v>
      </c>
      <c r="H108" s="6">
        <v>88377</v>
      </c>
    </row>
    <row r="109" spans="1:8" x14ac:dyDescent="0.6">
      <c r="A109" s="31" t="s">
        <v>52</v>
      </c>
      <c r="B109" s="32"/>
      <c r="C109" s="4">
        <v>48825</v>
      </c>
      <c r="D109" s="4">
        <v>-31982</v>
      </c>
      <c r="E109" s="3">
        <v>0</v>
      </c>
      <c r="F109" s="3">
        <v>0</v>
      </c>
      <c r="G109" s="3">
        <v>0</v>
      </c>
      <c r="H109" s="6">
        <v>16843</v>
      </c>
    </row>
    <row r="110" spans="1:8" x14ac:dyDescent="0.6">
      <c r="A110" s="31" t="s">
        <v>18</v>
      </c>
      <c r="B110" s="32"/>
      <c r="C110" s="4">
        <v>-88495</v>
      </c>
      <c r="D110" s="4">
        <v>-16365</v>
      </c>
      <c r="E110" s="4">
        <v>85124</v>
      </c>
      <c r="F110" s="4">
        <v>-47497</v>
      </c>
      <c r="G110" s="4">
        <v>19359</v>
      </c>
      <c r="H110" s="6">
        <v>-47874</v>
      </c>
    </row>
    <row r="111" spans="1:8" x14ac:dyDescent="0.6">
      <c r="A111" s="31" t="s">
        <v>53</v>
      </c>
      <c r="B111" s="32"/>
      <c r="C111" s="15"/>
      <c r="D111" s="15"/>
      <c r="E111" s="15"/>
      <c r="F111" s="15"/>
      <c r="G111" s="15"/>
      <c r="H111" s="19"/>
    </row>
    <row r="112" spans="1:8" ht="67.5" x14ac:dyDescent="0.6">
      <c r="A112" s="33" t="s">
        <v>53</v>
      </c>
      <c r="B112" s="15" t="s">
        <v>54</v>
      </c>
      <c r="C112" s="4">
        <v>54320</v>
      </c>
      <c r="D112" s="3">
        <v>0</v>
      </c>
      <c r="E112" s="4">
        <v>24993</v>
      </c>
      <c r="F112" s="4">
        <v>17853</v>
      </c>
      <c r="G112" s="4">
        <v>48093</v>
      </c>
      <c r="H112" s="6">
        <v>145259</v>
      </c>
    </row>
    <row r="113" spans="1:8" ht="81" x14ac:dyDescent="0.6">
      <c r="A113" s="35"/>
      <c r="B113" s="15" t="s">
        <v>55</v>
      </c>
      <c r="C113" s="4">
        <v>-315325</v>
      </c>
      <c r="D113" s="3">
        <v>0</v>
      </c>
      <c r="E113" s="3">
        <v>0</v>
      </c>
      <c r="F113" s="3">
        <v>0</v>
      </c>
      <c r="G113" s="3">
        <v>0</v>
      </c>
      <c r="H113" s="6">
        <v>-315325</v>
      </c>
    </row>
    <row r="114" spans="1:8" x14ac:dyDescent="0.6">
      <c r="A114" s="31" t="s">
        <v>56</v>
      </c>
      <c r="B114" s="32"/>
      <c r="C114" s="15"/>
      <c r="D114" s="15"/>
      <c r="E114" s="15"/>
      <c r="F114" s="15"/>
      <c r="G114" s="15"/>
      <c r="H114" s="19"/>
    </row>
    <row r="115" spans="1:8" x14ac:dyDescent="0.6">
      <c r="A115" s="33" t="s">
        <v>56</v>
      </c>
      <c r="B115" s="15" t="s">
        <v>19</v>
      </c>
      <c r="C115" s="4">
        <v>269060</v>
      </c>
      <c r="D115" s="3">
        <v>0</v>
      </c>
      <c r="E115" s="3">
        <v>0</v>
      </c>
      <c r="F115" s="3">
        <v>0</v>
      </c>
      <c r="G115" s="3">
        <v>0</v>
      </c>
      <c r="H115" s="6">
        <v>269060</v>
      </c>
    </row>
    <row r="116" spans="1:8" ht="27" x14ac:dyDescent="0.6">
      <c r="A116" s="34"/>
      <c r="B116" s="15" t="s">
        <v>20</v>
      </c>
      <c r="C116" s="4">
        <v>2565903</v>
      </c>
      <c r="D116" s="3">
        <v>0</v>
      </c>
      <c r="E116" s="3">
        <v>0</v>
      </c>
      <c r="F116" s="3">
        <v>0</v>
      </c>
      <c r="G116" s="3">
        <v>0</v>
      </c>
      <c r="H116" s="6">
        <v>2565903</v>
      </c>
    </row>
    <row r="117" spans="1:8" ht="27" x14ac:dyDescent="0.6">
      <c r="A117" s="34"/>
      <c r="B117" s="15" t="s">
        <v>0</v>
      </c>
      <c r="C117" s="4">
        <v>-672979</v>
      </c>
      <c r="D117" s="3">
        <v>0</v>
      </c>
      <c r="E117" s="3">
        <v>0</v>
      </c>
      <c r="F117" s="3">
        <v>0</v>
      </c>
      <c r="G117" s="3">
        <v>0</v>
      </c>
      <c r="H117" s="6">
        <v>-672979</v>
      </c>
    </row>
    <row r="118" spans="1:8" ht="54" x14ac:dyDescent="0.6">
      <c r="A118" s="35"/>
      <c r="B118" s="15" t="s">
        <v>57</v>
      </c>
      <c r="C118" s="4">
        <v>-1623864</v>
      </c>
      <c r="D118" s="3">
        <v>0</v>
      </c>
      <c r="E118" s="3">
        <v>0</v>
      </c>
      <c r="F118" s="3">
        <v>0</v>
      </c>
      <c r="G118" s="3">
        <v>0</v>
      </c>
      <c r="H118" s="6">
        <v>-1623864</v>
      </c>
    </row>
    <row r="119" spans="1:8" x14ac:dyDescent="0.6">
      <c r="A119" s="31" t="s">
        <v>58</v>
      </c>
      <c r="B119" s="32"/>
      <c r="C119" s="4">
        <v>2032823</v>
      </c>
      <c r="D119" s="4">
        <v>428390</v>
      </c>
      <c r="E119" s="4">
        <v>792912</v>
      </c>
      <c r="F119" s="4">
        <v>553018</v>
      </c>
      <c r="G119" s="4">
        <v>1116105</v>
      </c>
      <c r="H119" s="6">
        <v>4923248</v>
      </c>
    </row>
    <row r="120" spans="1:8" x14ac:dyDescent="0.6">
      <c r="A120" s="31" t="s">
        <v>59</v>
      </c>
      <c r="B120" s="32"/>
      <c r="C120" s="4">
        <v>213172</v>
      </c>
      <c r="D120" s="4">
        <v>-33968</v>
      </c>
      <c r="E120" s="4">
        <v>-12671</v>
      </c>
      <c r="F120" s="3">
        <v>0</v>
      </c>
      <c r="G120" s="4">
        <v>-14378</v>
      </c>
      <c r="H120" s="6">
        <v>152155</v>
      </c>
    </row>
    <row r="121" spans="1:8" x14ac:dyDescent="0.6">
      <c r="A121" s="36" t="s">
        <v>60</v>
      </c>
      <c r="B121" s="37"/>
      <c r="C121" s="7">
        <v>2245995</v>
      </c>
      <c r="D121" s="7">
        <v>394422</v>
      </c>
      <c r="E121" s="7">
        <v>780241</v>
      </c>
      <c r="F121" s="7">
        <v>553018</v>
      </c>
      <c r="G121" s="7">
        <v>1101727</v>
      </c>
      <c r="H121" s="9">
        <v>5075403</v>
      </c>
    </row>
    <row r="122" spans="1:8" x14ac:dyDescent="0.6">
      <c r="A122" s="11"/>
    </row>
    <row r="123" spans="1:8" ht="27" x14ac:dyDescent="0.6">
      <c r="A123" s="11" t="s">
        <v>61</v>
      </c>
      <c r="B123" s="12" t="s">
        <v>24</v>
      </c>
    </row>
    <row r="124" spans="1:8" x14ac:dyDescent="0.6">
      <c r="A124" s="16"/>
      <c r="B124" s="17"/>
      <c r="C124" s="20" t="s">
        <v>25</v>
      </c>
      <c r="D124" s="21"/>
      <c r="E124" s="21"/>
      <c r="F124" s="21"/>
      <c r="G124" s="21"/>
      <c r="H124" s="22"/>
    </row>
    <row r="125" spans="1:8" x14ac:dyDescent="0.6">
      <c r="A125" s="18"/>
      <c r="B125" s="14"/>
      <c r="C125" s="23" t="s">
        <v>26</v>
      </c>
      <c r="D125" s="24"/>
      <c r="E125" s="24"/>
      <c r="F125" s="24"/>
      <c r="G125" s="24"/>
      <c r="H125" s="25"/>
    </row>
    <row r="126" spans="1:8" x14ac:dyDescent="0.6">
      <c r="A126" s="18"/>
      <c r="B126" s="14"/>
      <c r="C126" s="23" t="s">
        <v>27</v>
      </c>
      <c r="D126" s="24"/>
      <c r="E126" s="24"/>
      <c r="F126" s="24"/>
      <c r="G126" s="24"/>
      <c r="H126" s="25"/>
    </row>
    <row r="127" spans="1:8" x14ac:dyDescent="0.6">
      <c r="A127" s="18"/>
      <c r="B127" s="14"/>
      <c r="C127" s="23" t="s">
        <v>28</v>
      </c>
      <c r="D127" s="24"/>
      <c r="E127" s="24"/>
      <c r="F127" s="24"/>
      <c r="G127" s="24"/>
      <c r="H127" s="25"/>
    </row>
    <row r="128" spans="1:8" x14ac:dyDescent="0.6">
      <c r="A128" s="18"/>
      <c r="B128" s="14"/>
      <c r="C128" s="23" t="s">
        <v>29</v>
      </c>
      <c r="D128" s="24"/>
      <c r="E128" s="24"/>
      <c r="F128" s="24"/>
      <c r="G128" s="24"/>
      <c r="H128" s="25"/>
    </row>
    <row r="129" spans="1:8" x14ac:dyDescent="0.6">
      <c r="A129" s="18"/>
      <c r="B129" s="14"/>
      <c r="C129" s="23" t="s">
        <v>64</v>
      </c>
      <c r="D129" s="24"/>
      <c r="E129" s="24"/>
      <c r="F129" s="24"/>
      <c r="G129" s="24"/>
      <c r="H129" s="25"/>
    </row>
    <row r="130" spans="1:8" x14ac:dyDescent="0.6">
      <c r="A130" s="18"/>
      <c r="B130" s="14"/>
      <c r="C130" s="23" t="s">
        <v>31</v>
      </c>
      <c r="D130" s="24"/>
      <c r="E130" s="24"/>
      <c r="F130" s="24"/>
      <c r="G130" s="24"/>
      <c r="H130" s="25"/>
    </row>
    <row r="131" spans="1:8" x14ac:dyDescent="0.6">
      <c r="A131" s="18"/>
      <c r="B131" s="14"/>
      <c r="C131" s="23" t="s">
        <v>32</v>
      </c>
      <c r="D131" s="24"/>
      <c r="E131" s="24"/>
      <c r="F131" s="24"/>
      <c r="G131" s="24"/>
      <c r="H131" s="25"/>
    </row>
    <row r="132" spans="1:8" x14ac:dyDescent="0.6">
      <c r="A132" s="18"/>
      <c r="B132" s="14"/>
      <c r="C132" s="23" t="s">
        <v>33</v>
      </c>
      <c r="D132" s="24"/>
      <c r="E132" s="24"/>
      <c r="F132" s="24"/>
      <c r="G132" s="26"/>
      <c r="H132" s="27" t="s">
        <v>34</v>
      </c>
    </row>
    <row r="133" spans="1:8" ht="27" customHeight="1" x14ac:dyDescent="0.6">
      <c r="A133" s="18"/>
      <c r="B133" s="14"/>
      <c r="C133" s="29" t="s">
        <v>35</v>
      </c>
      <c r="D133" s="29" t="s">
        <v>36</v>
      </c>
      <c r="E133" s="23" t="s">
        <v>16</v>
      </c>
      <c r="F133" s="24"/>
      <c r="G133" s="26"/>
      <c r="H133" s="28"/>
    </row>
    <row r="134" spans="1:8" ht="27" x14ac:dyDescent="0.6">
      <c r="A134" s="18"/>
      <c r="B134" s="14"/>
      <c r="C134" s="30"/>
      <c r="D134" s="30"/>
      <c r="E134" s="14" t="s">
        <v>37</v>
      </c>
      <c r="F134" s="14" t="s">
        <v>38</v>
      </c>
      <c r="G134" s="14" t="s">
        <v>39</v>
      </c>
      <c r="H134" s="10"/>
    </row>
    <row r="135" spans="1:8" x14ac:dyDescent="0.6">
      <c r="A135" s="31" t="s">
        <v>40</v>
      </c>
      <c r="B135" s="32"/>
      <c r="C135" s="4">
        <v>1227292</v>
      </c>
      <c r="D135" s="4">
        <v>367841</v>
      </c>
      <c r="E135" s="4">
        <v>886857</v>
      </c>
      <c r="F135" s="4">
        <v>683508</v>
      </c>
      <c r="G135" s="4">
        <v>809456</v>
      </c>
      <c r="H135" s="6">
        <v>3974954</v>
      </c>
    </row>
    <row r="136" spans="1:8" x14ac:dyDescent="0.6">
      <c r="A136" s="31" t="s">
        <v>41</v>
      </c>
      <c r="B136" s="32"/>
      <c r="C136" s="4">
        <v>189541</v>
      </c>
      <c r="D136" s="4">
        <v>-28622</v>
      </c>
      <c r="E136" s="4">
        <v>-25457</v>
      </c>
      <c r="F136" s="4">
        <v>-7767</v>
      </c>
      <c r="G136" s="4">
        <v>-38242</v>
      </c>
      <c r="H136" s="6">
        <v>89453</v>
      </c>
    </row>
    <row r="137" spans="1:8" x14ac:dyDescent="0.6">
      <c r="A137" s="31" t="s">
        <v>42</v>
      </c>
      <c r="B137" s="32"/>
      <c r="C137" s="4">
        <v>1416833</v>
      </c>
      <c r="D137" s="4">
        <v>339219</v>
      </c>
      <c r="E137" s="4">
        <v>861400</v>
      </c>
      <c r="F137" s="4">
        <v>675741</v>
      </c>
      <c r="G137" s="4">
        <v>771214</v>
      </c>
      <c r="H137" s="6">
        <v>4064407</v>
      </c>
    </row>
    <row r="138" spans="1:8" ht="27" customHeight="1" x14ac:dyDescent="0.6">
      <c r="A138" s="31" t="s">
        <v>43</v>
      </c>
      <c r="B138" s="32"/>
      <c r="C138" s="15"/>
      <c r="D138" s="15"/>
      <c r="E138" s="15"/>
      <c r="F138" s="15"/>
      <c r="G138" s="15"/>
      <c r="H138" s="19"/>
    </row>
    <row r="139" spans="1:8" ht="40.5" x14ac:dyDescent="0.6">
      <c r="A139" s="33" t="s">
        <v>43</v>
      </c>
      <c r="B139" s="15" t="s">
        <v>44</v>
      </c>
      <c r="C139" s="4">
        <v>-38408</v>
      </c>
      <c r="D139" s="4">
        <v>8724</v>
      </c>
      <c r="E139" s="4">
        <v>-73637</v>
      </c>
      <c r="F139" s="4">
        <v>-59024</v>
      </c>
      <c r="G139" s="4">
        <v>-92192</v>
      </c>
      <c r="H139" s="6">
        <v>-254537</v>
      </c>
    </row>
    <row r="140" spans="1:8" ht="40.5" x14ac:dyDescent="0.6">
      <c r="A140" s="34"/>
      <c r="B140" s="15" t="s">
        <v>45</v>
      </c>
      <c r="C140" s="3">
        <v>0</v>
      </c>
      <c r="D140" s="3">
        <v>0</v>
      </c>
      <c r="E140" s="4">
        <v>-73637</v>
      </c>
      <c r="F140" s="4">
        <v>-59024</v>
      </c>
      <c r="G140" s="4">
        <v>-92192</v>
      </c>
      <c r="H140" s="6">
        <v>-224853</v>
      </c>
    </row>
    <row r="141" spans="1:8" ht="27" x14ac:dyDescent="0.6">
      <c r="A141" s="34"/>
      <c r="B141" s="15" t="s">
        <v>46</v>
      </c>
      <c r="C141" s="3">
        <v>0</v>
      </c>
      <c r="D141" s="4">
        <v>8724</v>
      </c>
      <c r="E141" s="3">
        <v>0</v>
      </c>
      <c r="F141" s="3">
        <v>0</v>
      </c>
      <c r="G141" s="3">
        <v>0</v>
      </c>
      <c r="H141" s="6">
        <v>8724</v>
      </c>
    </row>
    <row r="142" spans="1:8" x14ac:dyDescent="0.6">
      <c r="A142" s="35"/>
      <c r="B142" s="15" t="s">
        <v>17</v>
      </c>
      <c r="C142" s="4">
        <v>-38408</v>
      </c>
      <c r="D142" s="3">
        <v>0</v>
      </c>
      <c r="E142" s="3">
        <v>0</v>
      </c>
      <c r="F142" s="3">
        <v>0</v>
      </c>
      <c r="G142" s="3">
        <v>0</v>
      </c>
      <c r="H142" s="6">
        <v>-38408</v>
      </c>
    </row>
    <row r="143" spans="1:8" ht="27" customHeight="1" x14ac:dyDescent="0.6">
      <c r="A143" s="31" t="s">
        <v>47</v>
      </c>
      <c r="B143" s="32"/>
      <c r="C143" s="15"/>
      <c r="D143" s="15"/>
      <c r="E143" s="15"/>
      <c r="F143" s="15"/>
      <c r="G143" s="15"/>
      <c r="H143" s="19"/>
    </row>
    <row r="144" spans="1:8" ht="40.5" x14ac:dyDescent="0.6">
      <c r="A144" s="33" t="s">
        <v>47</v>
      </c>
      <c r="B144" s="15" t="s">
        <v>48</v>
      </c>
      <c r="C144" s="4">
        <v>-171997</v>
      </c>
      <c r="D144" s="4">
        <v>108045</v>
      </c>
      <c r="E144" s="4">
        <v>-162956</v>
      </c>
      <c r="F144" s="4">
        <v>-63428</v>
      </c>
      <c r="G144" s="4">
        <v>287459</v>
      </c>
      <c r="H144" s="6">
        <v>-2877</v>
      </c>
    </row>
    <row r="145" spans="1:8" ht="27" x14ac:dyDescent="0.6">
      <c r="A145" s="34"/>
      <c r="B145" s="15" t="s">
        <v>49</v>
      </c>
      <c r="C145" s="4">
        <v>-522565</v>
      </c>
      <c r="D145" s="4">
        <v>63849</v>
      </c>
      <c r="E145" s="3">
        <v>0</v>
      </c>
      <c r="F145" s="3">
        <v>0</v>
      </c>
      <c r="G145" s="4">
        <v>485252</v>
      </c>
      <c r="H145" s="6">
        <v>26536</v>
      </c>
    </row>
    <row r="146" spans="1:8" ht="67.5" x14ac:dyDescent="0.6">
      <c r="A146" s="34"/>
      <c r="B146" s="15" t="s">
        <v>50</v>
      </c>
      <c r="C146" s="4">
        <v>390552</v>
      </c>
      <c r="D146" s="4">
        <v>33625</v>
      </c>
      <c r="E146" s="4">
        <v>-162956</v>
      </c>
      <c r="F146" s="4">
        <v>-63428</v>
      </c>
      <c r="G146" s="4">
        <v>-197793</v>
      </c>
      <c r="H146" s="5">
        <v>0</v>
      </c>
    </row>
    <row r="147" spans="1:8" ht="67.5" x14ac:dyDescent="0.6">
      <c r="A147" s="35"/>
      <c r="B147" s="15" t="s">
        <v>51</v>
      </c>
      <c r="C147" s="4">
        <v>-39984</v>
      </c>
      <c r="D147" s="4">
        <v>10571</v>
      </c>
      <c r="E147" s="3">
        <v>0</v>
      </c>
      <c r="F147" s="3">
        <v>0</v>
      </c>
      <c r="G147" s="3">
        <v>0</v>
      </c>
      <c r="H147" s="6">
        <v>-29413</v>
      </c>
    </row>
    <row r="148" spans="1:8" x14ac:dyDescent="0.6">
      <c r="A148" s="31" t="s">
        <v>52</v>
      </c>
      <c r="B148" s="32"/>
      <c r="C148" s="4">
        <v>60608</v>
      </c>
      <c r="D148" s="4">
        <v>-39855</v>
      </c>
      <c r="E148" s="3">
        <v>0</v>
      </c>
      <c r="F148" s="3">
        <v>0</v>
      </c>
      <c r="G148" s="3">
        <v>0</v>
      </c>
      <c r="H148" s="6">
        <v>20753</v>
      </c>
    </row>
    <row r="149" spans="1:8" x14ac:dyDescent="0.6">
      <c r="A149" s="31" t="s">
        <v>18</v>
      </c>
      <c r="B149" s="32"/>
      <c r="C149" s="4">
        <v>-149797</v>
      </c>
      <c r="D149" s="4">
        <v>76914</v>
      </c>
      <c r="E149" s="4">
        <v>-236593</v>
      </c>
      <c r="F149" s="4">
        <v>-122452</v>
      </c>
      <c r="G149" s="4">
        <v>195267</v>
      </c>
      <c r="H149" s="6">
        <v>-236661</v>
      </c>
    </row>
    <row r="150" spans="1:8" x14ac:dyDescent="0.6">
      <c r="A150" s="31" t="s">
        <v>53</v>
      </c>
      <c r="B150" s="32"/>
      <c r="C150" s="15"/>
      <c r="D150" s="15"/>
      <c r="E150" s="15"/>
      <c r="F150" s="15"/>
      <c r="G150" s="15"/>
      <c r="H150" s="19"/>
    </row>
    <row r="151" spans="1:8" ht="67.5" x14ac:dyDescent="0.6">
      <c r="A151" s="33" t="s">
        <v>53</v>
      </c>
      <c r="B151" s="15" t="s">
        <v>54</v>
      </c>
      <c r="C151" s="4">
        <v>57235</v>
      </c>
      <c r="D151" s="3">
        <v>0</v>
      </c>
      <c r="E151" s="4">
        <v>32531</v>
      </c>
      <c r="F151" s="4">
        <v>21606</v>
      </c>
      <c r="G151" s="4">
        <v>43930</v>
      </c>
      <c r="H151" s="6">
        <v>155302</v>
      </c>
    </row>
    <row r="152" spans="1:8" ht="81" x14ac:dyDescent="0.6">
      <c r="A152" s="35"/>
      <c r="B152" s="15" t="s">
        <v>55</v>
      </c>
      <c r="C152" s="4">
        <v>797927</v>
      </c>
      <c r="D152" s="3">
        <v>0</v>
      </c>
      <c r="E152" s="3">
        <v>0</v>
      </c>
      <c r="F152" s="3">
        <v>0</v>
      </c>
      <c r="G152" s="3">
        <v>0</v>
      </c>
      <c r="H152" s="6">
        <v>797927</v>
      </c>
    </row>
    <row r="153" spans="1:8" x14ac:dyDescent="0.6">
      <c r="A153" s="31" t="s">
        <v>56</v>
      </c>
      <c r="B153" s="32"/>
      <c r="C153" s="15"/>
      <c r="D153" s="15"/>
      <c r="E153" s="15"/>
      <c r="F153" s="15"/>
      <c r="G153" s="15"/>
      <c r="H153" s="19"/>
    </row>
    <row r="154" spans="1:8" x14ac:dyDescent="0.6">
      <c r="A154" s="33" t="s">
        <v>56</v>
      </c>
      <c r="B154" s="15" t="s">
        <v>19</v>
      </c>
      <c r="C154" s="4">
        <v>180606</v>
      </c>
      <c r="D154" s="3">
        <v>0</v>
      </c>
      <c r="E154" s="3">
        <v>0</v>
      </c>
      <c r="F154" s="3">
        <v>0</v>
      </c>
      <c r="G154" s="3">
        <v>0</v>
      </c>
      <c r="H154" s="6">
        <v>180606</v>
      </c>
    </row>
    <row r="155" spans="1:8" ht="27" x14ac:dyDescent="0.6">
      <c r="A155" s="34"/>
      <c r="B155" s="15" t="s">
        <v>20</v>
      </c>
      <c r="C155" s="4">
        <v>2438617</v>
      </c>
      <c r="D155" s="3">
        <v>0</v>
      </c>
      <c r="E155" s="3">
        <v>0</v>
      </c>
      <c r="F155" s="3">
        <v>0</v>
      </c>
      <c r="G155" s="3">
        <v>0</v>
      </c>
      <c r="H155" s="6">
        <v>2438617</v>
      </c>
    </row>
    <row r="156" spans="1:8" ht="27" x14ac:dyDescent="0.6">
      <c r="A156" s="34"/>
      <c r="B156" s="15" t="s">
        <v>0</v>
      </c>
      <c r="C156" s="4">
        <v>-698332</v>
      </c>
      <c r="D156" s="3">
        <v>0</v>
      </c>
      <c r="E156" s="3">
        <v>0</v>
      </c>
      <c r="F156" s="3">
        <v>0</v>
      </c>
      <c r="G156" s="3">
        <v>0</v>
      </c>
      <c r="H156" s="6">
        <v>-698332</v>
      </c>
    </row>
    <row r="157" spans="1:8" ht="54" x14ac:dyDescent="0.6">
      <c r="A157" s="35"/>
      <c r="B157" s="15" t="s">
        <v>57</v>
      </c>
      <c r="C157" s="4">
        <v>-1559679</v>
      </c>
      <c r="D157" s="3">
        <v>0</v>
      </c>
      <c r="E157" s="3">
        <v>0</v>
      </c>
      <c r="F157" s="3">
        <v>0</v>
      </c>
      <c r="G157" s="3">
        <v>0</v>
      </c>
      <c r="H157" s="6">
        <v>-1559679</v>
      </c>
    </row>
    <row r="158" spans="1:8" x14ac:dyDescent="0.6">
      <c r="A158" s="31" t="s">
        <v>58</v>
      </c>
      <c r="B158" s="32"/>
      <c r="C158" s="4">
        <v>2113263</v>
      </c>
      <c r="D158" s="4">
        <v>444755</v>
      </c>
      <c r="E158" s="4">
        <v>682795</v>
      </c>
      <c r="F158" s="4">
        <v>582662</v>
      </c>
      <c r="G158" s="4">
        <v>1048653</v>
      </c>
      <c r="H158" s="6">
        <v>4872128</v>
      </c>
    </row>
    <row r="159" spans="1:8" x14ac:dyDescent="0.6">
      <c r="A159" s="31" t="s">
        <v>59</v>
      </c>
      <c r="B159" s="32"/>
      <c r="C159" s="4">
        <v>248793</v>
      </c>
      <c r="D159" s="4">
        <v>-34837</v>
      </c>
      <c r="E159" s="4">
        <v>-23865</v>
      </c>
      <c r="F159" s="3">
        <v>-974</v>
      </c>
      <c r="G159" s="4">
        <v>-42545</v>
      </c>
      <c r="H159" s="6">
        <v>146572</v>
      </c>
    </row>
    <row r="160" spans="1:8" x14ac:dyDescent="0.6">
      <c r="A160" s="36" t="s">
        <v>60</v>
      </c>
      <c r="B160" s="37"/>
      <c r="C160" s="7">
        <v>2362056</v>
      </c>
      <c r="D160" s="7">
        <v>409918</v>
      </c>
      <c r="E160" s="7">
        <v>658930</v>
      </c>
      <c r="F160" s="7">
        <v>581688</v>
      </c>
      <c r="G160" s="7">
        <v>1006108</v>
      </c>
      <c r="H160" s="9">
        <v>5018700</v>
      </c>
    </row>
    <row r="161" spans="1:3" x14ac:dyDescent="0.6">
      <c r="A161" s="11"/>
    </row>
    <row r="162" spans="1:3" ht="121.5" x14ac:dyDescent="0.6">
      <c r="A162" s="11" t="s">
        <v>65</v>
      </c>
    </row>
    <row r="163" spans="1:3" x14ac:dyDescent="0.6">
      <c r="A163" s="11"/>
    </row>
    <row r="164" spans="1:3" ht="67.5" customHeight="1" x14ac:dyDescent="0.6">
      <c r="A164" s="13" t="s">
        <v>66</v>
      </c>
      <c r="B164" s="13"/>
    </row>
    <row r="165" spans="1:3" ht="27" x14ac:dyDescent="0.6">
      <c r="A165" s="11" t="s">
        <v>23</v>
      </c>
      <c r="B165" s="12" t="s">
        <v>24</v>
      </c>
    </row>
    <row r="166" spans="1:3" ht="27" x14ac:dyDescent="0.6">
      <c r="A166" s="16"/>
      <c r="B166" s="17"/>
      <c r="C166" s="38" t="s">
        <v>25</v>
      </c>
    </row>
    <row r="167" spans="1:3" ht="27" x14ac:dyDescent="0.6">
      <c r="A167" s="18"/>
      <c r="B167" s="14"/>
      <c r="C167" s="39" t="s">
        <v>26</v>
      </c>
    </row>
    <row r="168" spans="1:3" x14ac:dyDescent="0.6">
      <c r="A168" s="18"/>
      <c r="B168" s="14"/>
      <c r="C168" s="39" t="s">
        <v>27</v>
      </c>
    </row>
    <row r="169" spans="1:3" ht="81" x14ac:dyDescent="0.6">
      <c r="A169" s="18"/>
      <c r="B169" s="14"/>
      <c r="C169" s="39" t="s">
        <v>28</v>
      </c>
    </row>
    <row r="170" spans="1:3" ht="40.5" x14ac:dyDescent="0.6">
      <c r="A170" s="18"/>
      <c r="B170" s="14"/>
      <c r="C170" s="39" t="s">
        <v>29</v>
      </c>
    </row>
    <row r="171" spans="1:3" ht="40.5" x14ac:dyDescent="0.6">
      <c r="A171" s="18"/>
      <c r="B171" s="14"/>
      <c r="C171" s="39" t="s">
        <v>64</v>
      </c>
    </row>
    <row r="172" spans="1:3" ht="27" x14ac:dyDescent="0.6">
      <c r="A172" s="18"/>
      <c r="B172" s="14"/>
      <c r="C172" s="39" t="s">
        <v>31</v>
      </c>
    </row>
    <row r="173" spans="1:3" x14ac:dyDescent="0.6">
      <c r="A173" s="18"/>
      <c r="B173" s="14"/>
      <c r="C173" s="39" t="s">
        <v>32</v>
      </c>
    </row>
    <row r="174" spans="1:3" ht="40.5" x14ac:dyDescent="0.6">
      <c r="A174" s="18"/>
      <c r="B174" s="14"/>
      <c r="C174" s="39" t="s">
        <v>33</v>
      </c>
    </row>
    <row r="175" spans="1:3" ht="27" x14ac:dyDescent="0.6">
      <c r="A175" s="18"/>
      <c r="B175" s="14"/>
      <c r="C175" s="39" t="s">
        <v>16</v>
      </c>
    </row>
    <row r="176" spans="1:3" x14ac:dyDescent="0.6">
      <c r="A176" s="31" t="s">
        <v>40</v>
      </c>
      <c r="B176" s="32"/>
      <c r="C176" s="6">
        <v>2314110</v>
      </c>
    </row>
    <row r="177" spans="1:3" x14ac:dyDescent="0.6">
      <c r="A177" s="31" t="s">
        <v>41</v>
      </c>
      <c r="B177" s="32"/>
      <c r="C177" s="6">
        <v>-67384</v>
      </c>
    </row>
    <row r="178" spans="1:3" x14ac:dyDescent="0.6">
      <c r="A178" s="31" t="s">
        <v>42</v>
      </c>
      <c r="B178" s="32"/>
      <c r="C178" s="6">
        <v>2246726</v>
      </c>
    </row>
    <row r="179" spans="1:3" ht="27" customHeight="1" x14ac:dyDescent="0.6">
      <c r="A179" s="31" t="s">
        <v>43</v>
      </c>
      <c r="B179" s="32"/>
      <c r="C179" s="19"/>
    </row>
    <row r="180" spans="1:3" ht="40.5" x14ac:dyDescent="0.6">
      <c r="A180" s="33" t="s">
        <v>43</v>
      </c>
      <c r="B180" s="15" t="s">
        <v>44</v>
      </c>
      <c r="C180" s="6">
        <v>-212963</v>
      </c>
    </row>
    <row r="181" spans="1:3" ht="40.5" x14ac:dyDescent="0.6">
      <c r="A181" s="34"/>
      <c r="B181" s="15" t="s">
        <v>45</v>
      </c>
      <c r="C181" s="6">
        <v>-212963</v>
      </c>
    </row>
    <row r="182" spans="1:3" ht="27" x14ac:dyDescent="0.6">
      <c r="A182" s="34"/>
      <c r="B182" s="15" t="s">
        <v>46</v>
      </c>
      <c r="C182" s="5">
        <v>0</v>
      </c>
    </row>
    <row r="183" spans="1:3" x14ac:dyDescent="0.6">
      <c r="A183" s="35"/>
      <c r="B183" s="15" t="s">
        <v>17</v>
      </c>
      <c r="C183" s="5">
        <v>0</v>
      </c>
    </row>
    <row r="184" spans="1:3" ht="27" customHeight="1" x14ac:dyDescent="0.6">
      <c r="A184" s="31" t="s">
        <v>47</v>
      </c>
      <c r="B184" s="32"/>
      <c r="C184" s="19"/>
    </row>
    <row r="185" spans="1:3" ht="40.5" x14ac:dyDescent="0.6">
      <c r="A185" s="33" t="s">
        <v>47</v>
      </c>
      <c r="B185" s="15" t="s">
        <v>48</v>
      </c>
      <c r="C185" s="6">
        <v>269949</v>
      </c>
    </row>
    <row r="186" spans="1:3" ht="27" x14ac:dyDescent="0.6">
      <c r="A186" s="34"/>
      <c r="B186" s="15" t="s">
        <v>49</v>
      </c>
      <c r="C186" s="6">
        <v>412168</v>
      </c>
    </row>
    <row r="187" spans="1:3" ht="67.5" x14ac:dyDescent="0.6">
      <c r="A187" s="34"/>
      <c r="B187" s="15" t="s">
        <v>50</v>
      </c>
      <c r="C187" s="6">
        <v>-142219</v>
      </c>
    </row>
    <row r="188" spans="1:3" ht="67.5" x14ac:dyDescent="0.6">
      <c r="A188" s="35"/>
      <c r="B188" s="15" t="s">
        <v>51</v>
      </c>
      <c r="C188" s="5">
        <v>0</v>
      </c>
    </row>
    <row r="189" spans="1:3" x14ac:dyDescent="0.6">
      <c r="A189" s="31" t="s">
        <v>52</v>
      </c>
      <c r="B189" s="32"/>
      <c r="C189" s="5">
        <v>0</v>
      </c>
    </row>
    <row r="190" spans="1:3" x14ac:dyDescent="0.6">
      <c r="A190" s="31" t="s">
        <v>18</v>
      </c>
      <c r="B190" s="32"/>
      <c r="C190" s="6">
        <v>56986</v>
      </c>
    </row>
    <row r="191" spans="1:3" x14ac:dyDescent="0.6">
      <c r="A191" s="31" t="s">
        <v>53</v>
      </c>
      <c r="B191" s="32"/>
      <c r="C191" s="19"/>
    </row>
    <row r="192" spans="1:3" ht="67.5" x14ac:dyDescent="0.6">
      <c r="A192" s="33" t="s">
        <v>53</v>
      </c>
      <c r="B192" s="15" t="s">
        <v>54</v>
      </c>
      <c r="C192" s="6">
        <v>90939</v>
      </c>
    </row>
    <row r="193" spans="1:3" ht="81" x14ac:dyDescent="0.6">
      <c r="A193" s="35"/>
      <c r="B193" s="15" t="s">
        <v>55</v>
      </c>
      <c r="C193" s="5">
        <v>0</v>
      </c>
    </row>
    <row r="194" spans="1:3" x14ac:dyDescent="0.6">
      <c r="A194" s="31" t="s">
        <v>56</v>
      </c>
      <c r="B194" s="32"/>
      <c r="C194" s="19"/>
    </row>
    <row r="195" spans="1:3" x14ac:dyDescent="0.6">
      <c r="A195" s="33" t="s">
        <v>56</v>
      </c>
      <c r="B195" s="15" t="s">
        <v>19</v>
      </c>
      <c r="C195" s="5">
        <v>0</v>
      </c>
    </row>
    <row r="196" spans="1:3" ht="27" x14ac:dyDescent="0.6">
      <c r="A196" s="34"/>
      <c r="B196" s="15" t="s">
        <v>20</v>
      </c>
      <c r="C196" s="5">
        <v>0</v>
      </c>
    </row>
    <row r="197" spans="1:3" ht="27" x14ac:dyDescent="0.6">
      <c r="A197" s="34"/>
      <c r="B197" s="15" t="s">
        <v>0</v>
      </c>
      <c r="C197" s="5">
        <v>0</v>
      </c>
    </row>
    <row r="198" spans="1:3" ht="54" x14ac:dyDescent="0.6">
      <c r="A198" s="35"/>
      <c r="B198" s="15" t="s">
        <v>57</v>
      </c>
      <c r="C198" s="5">
        <v>0</v>
      </c>
    </row>
    <row r="199" spans="1:3" x14ac:dyDescent="0.6">
      <c r="A199" s="31" t="s">
        <v>58</v>
      </c>
      <c r="B199" s="32"/>
      <c r="C199" s="6">
        <v>2462035</v>
      </c>
    </row>
    <row r="200" spans="1:3" x14ac:dyDescent="0.6">
      <c r="A200" s="31" t="s">
        <v>59</v>
      </c>
      <c r="B200" s="32"/>
      <c r="C200" s="6">
        <v>-27049</v>
      </c>
    </row>
    <row r="201" spans="1:3" x14ac:dyDescent="0.6">
      <c r="A201" s="36" t="s">
        <v>60</v>
      </c>
      <c r="B201" s="37"/>
      <c r="C201" s="9">
        <v>2434986</v>
      </c>
    </row>
    <row r="202" spans="1:3" x14ac:dyDescent="0.6">
      <c r="A202" s="11"/>
    </row>
    <row r="203" spans="1:3" ht="27" x14ac:dyDescent="0.6">
      <c r="A203" s="11" t="s">
        <v>61</v>
      </c>
      <c r="B203" s="12" t="s">
        <v>24</v>
      </c>
    </row>
    <row r="204" spans="1:3" ht="27" x14ac:dyDescent="0.6">
      <c r="A204" s="16"/>
      <c r="B204" s="17"/>
      <c r="C204" s="38" t="s">
        <v>25</v>
      </c>
    </row>
    <row r="205" spans="1:3" ht="27" x14ac:dyDescent="0.6">
      <c r="A205" s="18"/>
      <c r="B205" s="14"/>
      <c r="C205" s="39" t="s">
        <v>26</v>
      </c>
    </row>
    <row r="206" spans="1:3" x14ac:dyDescent="0.6">
      <c r="A206" s="18"/>
      <c r="B206" s="14"/>
      <c r="C206" s="39" t="s">
        <v>27</v>
      </c>
    </row>
    <row r="207" spans="1:3" ht="81" x14ac:dyDescent="0.6">
      <c r="A207" s="18"/>
      <c r="B207" s="14"/>
      <c r="C207" s="39" t="s">
        <v>28</v>
      </c>
    </row>
    <row r="208" spans="1:3" ht="40.5" x14ac:dyDescent="0.6">
      <c r="A208" s="18"/>
      <c r="B208" s="14"/>
      <c r="C208" s="39" t="s">
        <v>29</v>
      </c>
    </row>
    <row r="209" spans="1:3" ht="40.5" x14ac:dyDescent="0.6">
      <c r="A209" s="18"/>
      <c r="B209" s="14"/>
      <c r="C209" s="39" t="s">
        <v>64</v>
      </c>
    </row>
    <row r="210" spans="1:3" ht="27" x14ac:dyDescent="0.6">
      <c r="A210" s="18"/>
      <c r="B210" s="14"/>
      <c r="C210" s="39" t="s">
        <v>31</v>
      </c>
    </row>
    <row r="211" spans="1:3" x14ac:dyDescent="0.6">
      <c r="A211" s="18"/>
      <c r="B211" s="14"/>
      <c r="C211" s="39" t="s">
        <v>32</v>
      </c>
    </row>
    <row r="212" spans="1:3" ht="40.5" x14ac:dyDescent="0.6">
      <c r="A212" s="18"/>
      <c r="B212" s="14"/>
      <c r="C212" s="39" t="s">
        <v>33</v>
      </c>
    </row>
    <row r="213" spans="1:3" ht="27" x14ac:dyDescent="0.6">
      <c r="A213" s="18"/>
      <c r="B213" s="14"/>
      <c r="C213" s="39" t="s">
        <v>16</v>
      </c>
    </row>
    <row r="214" spans="1:3" x14ac:dyDescent="0.6">
      <c r="A214" s="31" t="s">
        <v>40</v>
      </c>
      <c r="B214" s="32"/>
      <c r="C214" s="6">
        <v>2379821</v>
      </c>
    </row>
    <row r="215" spans="1:3" x14ac:dyDescent="0.6">
      <c r="A215" s="31" t="s">
        <v>41</v>
      </c>
      <c r="B215" s="32"/>
      <c r="C215" s="6">
        <v>-71466</v>
      </c>
    </row>
    <row r="216" spans="1:3" x14ac:dyDescent="0.6">
      <c r="A216" s="31" t="s">
        <v>42</v>
      </c>
      <c r="B216" s="32"/>
      <c r="C216" s="6">
        <v>2308355</v>
      </c>
    </row>
    <row r="217" spans="1:3" ht="27" customHeight="1" x14ac:dyDescent="0.6">
      <c r="A217" s="31" t="s">
        <v>43</v>
      </c>
      <c r="B217" s="32"/>
      <c r="C217" s="19"/>
    </row>
    <row r="218" spans="1:3" ht="40.5" x14ac:dyDescent="0.6">
      <c r="A218" s="33" t="s">
        <v>43</v>
      </c>
      <c r="B218" s="15" t="s">
        <v>44</v>
      </c>
      <c r="C218" s="6">
        <v>-224853</v>
      </c>
    </row>
    <row r="219" spans="1:3" ht="40.5" x14ac:dyDescent="0.6">
      <c r="A219" s="34"/>
      <c r="B219" s="15" t="s">
        <v>45</v>
      </c>
      <c r="C219" s="6">
        <v>-224853</v>
      </c>
    </row>
    <row r="220" spans="1:3" ht="27" x14ac:dyDescent="0.6">
      <c r="A220" s="34"/>
      <c r="B220" s="15" t="s">
        <v>46</v>
      </c>
      <c r="C220" s="5">
        <v>0</v>
      </c>
    </row>
    <row r="221" spans="1:3" x14ac:dyDescent="0.6">
      <c r="A221" s="35"/>
      <c r="B221" s="15" t="s">
        <v>17</v>
      </c>
      <c r="C221" s="5">
        <v>0</v>
      </c>
    </row>
    <row r="222" spans="1:3" ht="27" customHeight="1" x14ac:dyDescent="0.6">
      <c r="A222" s="31" t="s">
        <v>47</v>
      </c>
      <c r="B222" s="32"/>
      <c r="C222" s="19"/>
    </row>
    <row r="223" spans="1:3" ht="40.5" x14ac:dyDescent="0.6">
      <c r="A223" s="33" t="s">
        <v>47</v>
      </c>
      <c r="B223" s="15" t="s">
        <v>48</v>
      </c>
      <c r="C223" s="6">
        <v>61075</v>
      </c>
    </row>
    <row r="224" spans="1:3" ht="27" x14ac:dyDescent="0.6">
      <c r="A224" s="34"/>
      <c r="B224" s="15" t="s">
        <v>49</v>
      </c>
      <c r="C224" s="6">
        <v>485252</v>
      </c>
    </row>
    <row r="225" spans="1:3" ht="67.5" x14ac:dyDescent="0.6">
      <c r="A225" s="34"/>
      <c r="B225" s="15" t="s">
        <v>50</v>
      </c>
      <c r="C225" s="6">
        <v>-424177</v>
      </c>
    </row>
    <row r="226" spans="1:3" ht="67.5" x14ac:dyDescent="0.6">
      <c r="A226" s="35"/>
      <c r="B226" s="15" t="s">
        <v>51</v>
      </c>
      <c r="C226" s="5">
        <v>0</v>
      </c>
    </row>
    <row r="227" spans="1:3" x14ac:dyDescent="0.6">
      <c r="A227" s="31" t="s">
        <v>52</v>
      </c>
      <c r="B227" s="32"/>
      <c r="C227" s="5">
        <v>0</v>
      </c>
    </row>
    <row r="228" spans="1:3" x14ac:dyDescent="0.6">
      <c r="A228" s="31" t="s">
        <v>18</v>
      </c>
      <c r="B228" s="32"/>
      <c r="C228" s="6">
        <v>-163778</v>
      </c>
    </row>
    <row r="229" spans="1:3" x14ac:dyDescent="0.6">
      <c r="A229" s="31" t="s">
        <v>53</v>
      </c>
      <c r="B229" s="32"/>
      <c r="C229" s="19"/>
    </row>
    <row r="230" spans="1:3" ht="67.5" x14ac:dyDescent="0.6">
      <c r="A230" s="33" t="s">
        <v>53</v>
      </c>
      <c r="B230" s="15" t="s">
        <v>54</v>
      </c>
      <c r="C230" s="6">
        <v>98067</v>
      </c>
    </row>
    <row r="231" spans="1:3" ht="81" x14ac:dyDescent="0.6">
      <c r="A231" s="35"/>
      <c r="B231" s="15" t="s">
        <v>55</v>
      </c>
      <c r="C231" s="5">
        <v>0</v>
      </c>
    </row>
    <row r="232" spans="1:3" x14ac:dyDescent="0.6">
      <c r="A232" s="31" t="s">
        <v>56</v>
      </c>
      <c r="B232" s="32"/>
      <c r="C232" s="19"/>
    </row>
    <row r="233" spans="1:3" x14ac:dyDescent="0.6">
      <c r="A233" s="33" t="s">
        <v>56</v>
      </c>
      <c r="B233" s="15" t="s">
        <v>19</v>
      </c>
      <c r="C233" s="5">
        <v>0</v>
      </c>
    </row>
    <row r="234" spans="1:3" ht="27" x14ac:dyDescent="0.6">
      <c r="A234" s="34"/>
      <c r="B234" s="15" t="s">
        <v>20</v>
      </c>
      <c r="C234" s="5">
        <v>0</v>
      </c>
    </row>
    <row r="235" spans="1:3" ht="27" x14ac:dyDescent="0.6">
      <c r="A235" s="34"/>
      <c r="B235" s="15" t="s">
        <v>0</v>
      </c>
      <c r="C235" s="5">
        <v>0</v>
      </c>
    </row>
    <row r="236" spans="1:3" ht="54" x14ac:dyDescent="0.6">
      <c r="A236" s="35"/>
      <c r="B236" s="15" t="s">
        <v>57</v>
      </c>
      <c r="C236" s="5">
        <v>0</v>
      </c>
    </row>
    <row r="237" spans="1:3" x14ac:dyDescent="0.6">
      <c r="A237" s="31" t="s">
        <v>58</v>
      </c>
      <c r="B237" s="32"/>
      <c r="C237" s="6">
        <v>2314110</v>
      </c>
    </row>
    <row r="238" spans="1:3" x14ac:dyDescent="0.6">
      <c r="A238" s="31" t="s">
        <v>59</v>
      </c>
      <c r="B238" s="32"/>
      <c r="C238" s="6">
        <v>-67384</v>
      </c>
    </row>
    <row r="239" spans="1:3" x14ac:dyDescent="0.6">
      <c r="A239" s="36" t="s">
        <v>60</v>
      </c>
      <c r="B239" s="37"/>
      <c r="C239" s="9">
        <v>2246726</v>
      </c>
    </row>
    <row r="240" spans="1:3" x14ac:dyDescent="0.6">
      <c r="A240" s="11"/>
    </row>
    <row r="241" spans="1:1" x14ac:dyDescent="0.6">
      <c r="A241" s="11"/>
    </row>
  </sheetData>
  <mergeCells count="139">
    <mergeCell ref="A233:A236"/>
    <mergeCell ref="A237:B237"/>
    <mergeCell ref="A238:B238"/>
    <mergeCell ref="A239:B239"/>
    <mergeCell ref="A227:B227"/>
    <mergeCell ref="A228:B228"/>
    <mergeCell ref="A229:B229"/>
    <mergeCell ref="A230:A231"/>
    <mergeCell ref="A232:B232"/>
    <mergeCell ref="A216:B216"/>
    <mergeCell ref="A217:B217"/>
    <mergeCell ref="A218:A221"/>
    <mergeCell ref="A222:B222"/>
    <mergeCell ref="A223:A226"/>
    <mergeCell ref="A199:B199"/>
    <mergeCell ref="A200:B200"/>
    <mergeCell ref="A201:B201"/>
    <mergeCell ref="A214:B214"/>
    <mergeCell ref="A215:B215"/>
    <mergeCell ref="A190:B190"/>
    <mergeCell ref="A191:B191"/>
    <mergeCell ref="A192:A193"/>
    <mergeCell ref="A194:B194"/>
    <mergeCell ref="A195:A198"/>
    <mergeCell ref="A179:B179"/>
    <mergeCell ref="A180:A183"/>
    <mergeCell ref="A184:B184"/>
    <mergeCell ref="A185:A188"/>
    <mergeCell ref="A189:B189"/>
    <mergeCell ref="A160:B160"/>
    <mergeCell ref="A164:B164"/>
    <mergeCell ref="A176:B176"/>
    <mergeCell ref="A177:B177"/>
    <mergeCell ref="A178:B178"/>
    <mergeCell ref="A151:A152"/>
    <mergeCell ref="A153:B153"/>
    <mergeCell ref="A154:A157"/>
    <mergeCell ref="A158:B158"/>
    <mergeCell ref="A159:B159"/>
    <mergeCell ref="A143:B143"/>
    <mergeCell ref="A144:A147"/>
    <mergeCell ref="A148:B148"/>
    <mergeCell ref="A149:B149"/>
    <mergeCell ref="A150:B150"/>
    <mergeCell ref="A135:B135"/>
    <mergeCell ref="A136:B136"/>
    <mergeCell ref="A137:B137"/>
    <mergeCell ref="A138:B138"/>
    <mergeCell ref="A139:A142"/>
    <mergeCell ref="C128:H128"/>
    <mergeCell ref="C129:H129"/>
    <mergeCell ref="C130:H130"/>
    <mergeCell ref="C131:H131"/>
    <mergeCell ref="C132:G132"/>
    <mergeCell ref="H132:H134"/>
    <mergeCell ref="C133:C134"/>
    <mergeCell ref="D133:D134"/>
    <mergeCell ref="E133:G133"/>
    <mergeCell ref="A121:B121"/>
    <mergeCell ref="C124:H124"/>
    <mergeCell ref="C125:H125"/>
    <mergeCell ref="C126:H126"/>
    <mergeCell ref="C127:H127"/>
    <mergeCell ref="A112:A113"/>
    <mergeCell ref="A114:B114"/>
    <mergeCell ref="A115:A118"/>
    <mergeCell ref="A119:B119"/>
    <mergeCell ref="A120:B120"/>
    <mergeCell ref="A104:B104"/>
    <mergeCell ref="A105:A108"/>
    <mergeCell ref="A109:B109"/>
    <mergeCell ref="A110:B110"/>
    <mergeCell ref="A111:B111"/>
    <mergeCell ref="A96:B96"/>
    <mergeCell ref="A97:B97"/>
    <mergeCell ref="A98:B98"/>
    <mergeCell ref="A99:B99"/>
    <mergeCell ref="A100:A103"/>
    <mergeCell ref="C90:H90"/>
    <mergeCell ref="C91:H91"/>
    <mergeCell ref="C92:H92"/>
    <mergeCell ref="C93:G93"/>
    <mergeCell ref="H93:H95"/>
    <mergeCell ref="C94:C95"/>
    <mergeCell ref="D94:D95"/>
    <mergeCell ref="E94:G94"/>
    <mergeCell ref="C85:H85"/>
    <mergeCell ref="C86:H86"/>
    <mergeCell ref="C87:H87"/>
    <mergeCell ref="C88:H88"/>
    <mergeCell ref="C89:H89"/>
    <mergeCell ref="A83:B83"/>
    <mergeCell ref="A78:B78"/>
    <mergeCell ref="A79:B79"/>
    <mergeCell ref="A80:B80"/>
    <mergeCell ref="A69:B69"/>
    <mergeCell ref="A70:B70"/>
    <mergeCell ref="A71:A72"/>
    <mergeCell ref="A73:B73"/>
    <mergeCell ref="A74:A77"/>
    <mergeCell ref="A58:B58"/>
    <mergeCell ref="A59:A62"/>
    <mergeCell ref="A63:B63"/>
    <mergeCell ref="A64:A67"/>
    <mergeCell ref="A68:B68"/>
    <mergeCell ref="A43:B43"/>
    <mergeCell ref="A55:B55"/>
    <mergeCell ref="A56:B56"/>
    <mergeCell ref="A57:B57"/>
    <mergeCell ref="A32:B32"/>
    <mergeCell ref="A33:A36"/>
    <mergeCell ref="A37:B37"/>
    <mergeCell ref="A38:B38"/>
    <mergeCell ref="A39:B39"/>
    <mergeCell ref="C8:H8"/>
    <mergeCell ref="C9:H9"/>
    <mergeCell ref="C10:H10"/>
    <mergeCell ref="C11:G11"/>
    <mergeCell ref="H11:H13"/>
    <mergeCell ref="C12:C13"/>
    <mergeCell ref="D12:D13"/>
    <mergeCell ref="E12:G12"/>
    <mergeCell ref="C3:H3"/>
    <mergeCell ref="C4:H4"/>
    <mergeCell ref="C5:H5"/>
    <mergeCell ref="C6:H6"/>
    <mergeCell ref="C7:H7"/>
    <mergeCell ref="A1:B1"/>
    <mergeCell ref="A14:B14"/>
    <mergeCell ref="A15:B15"/>
    <mergeCell ref="A16:B16"/>
    <mergeCell ref="A17:B17"/>
    <mergeCell ref="A18:A21"/>
    <mergeCell ref="A22:B22"/>
    <mergeCell ref="A23:A26"/>
    <mergeCell ref="A27:B27"/>
    <mergeCell ref="A28:B28"/>
    <mergeCell ref="A29:B29"/>
    <mergeCell ref="A30:A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2026-06-03T00:16:15Z</dcterms:modified>
</cp:coreProperties>
</file>