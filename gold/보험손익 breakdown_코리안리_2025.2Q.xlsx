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gold\"/>
    </mc:Choice>
  </mc:AlternateContent>
  <xr:revisionPtr revIDLastSave="0" documentId="13_ncr:1_{BEA2B457-3347-49F9-8544-955EA6EF638F}" xr6:coauthVersionLast="47" xr6:coauthVersionMax="47" xr10:uidLastSave="{00000000-0000-0000-0000-000000000000}"/>
  <bookViews>
    <workbookView xWindow="-98" yWindow="-98" windowWidth="21795" windowHeight="12975" xr2:uid="{B186C083-72FA-4707-BBE5-A56EC0A2D05F}"/>
  </bookViews>
  <sheets>
    <sheet name="Sheet1" sheetId="4" r:id="rId1"/>
    <sheet name="보험손익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4" l="1"/>
  <c r="H2" i="4"/>
  <c r="H28" i="4"/>
  <c r="H26" i="4"/>
  <c r="J25" i="1"/>
  <c r="F25" i="1"/>
  <c r="D25" i="1"/>
  <c r="H23" i="4"/>
  <c r="H22" i="4"/>
  <c r="H21" i="4"/>
  <c r="H20" i="4"/>
  <c r="H18" i="4"/>
  <c r="H17" i="4"/>
  <c r="H16" i="4"/>
  <c r="H15" i="4"/>
  <c r="H9" i="4"/>
  <c r="H4" i="4"/>
  <c r="H12" i="4"/>
  <c r="H11" i="4"/>
  <c r="H10" i="4"/>
  <c r="H7" i="4"/>
  <c r="H6" i="4"/>
  <c r="H5" i="4"/>
  <c r="H14" i="4" l="1"/>
  <c r="H24" i="4"/>
  <c r="H19" i="4"/>
  <c r="H13" i="4"/>
  <c r="H3" i="4"/>
  <c r="H8" i="4"/>
  <c r="E3" i="4"/>
  <c r="E4" i="4" l="1"/>
  <c r="E14" i="4"/>
  <c r="E5" i="4" l="1"/>
  <c r="E15" i="4"/>
  <c r="E6" i="4" l="1"/>
  <c r="E16" i="4"/>
  <c r="E7" i="4" l="1"/>
  <c r="E17" i="4"/>
  <c r="E8" i="4" l="1"/>
  <c r="E18" i="4"/>
  <c r="E9" i="4" l="1"/>
  <c r="E19" i="4"/>
  <c r="E10" i="4" l="1"/>
  <c r="E20" i="4"/>
  <c r="E11" i="4" l="1"/>
  <c r="E21" i="4"/>
  <c r="E12" i="4" l="1"/>
  <c r="E22" i="4"/>
  <c r="E13" i="4" l="1"/>
  <c r="E23" i="4"/>
  <c r="E24" i="4" l="1"/>
  <c r="E25" i="4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</calcChain>
</file>

<file path=xl/sharedStrings.xml><?xml version="1.0" encoding="utf-8"?>
<sst xmlns="http://schemas.openxmlformats.org/spreadsheetml/2006/main" count="371" uniqueCount="98">
  <si>
    <t>공시분기</t>
  </si>
  <si>
    <t>영업이익</t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</si>
  <si>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</si>
  <si>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</si>
  <si>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</si>
  <si>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</si>
  <si>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</si>
  <si>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</si>
  <si>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</si>
  <si>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</si>
  <si>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</si>
  <si>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</si>
  <si>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</si>
  <si>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</si>
  <si>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</si>
  <si>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</si>
  <si>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</si>
  <si>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</si>
  <si>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</si>
  <si>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</si>
  <si>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</si>
  <si>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</si>
  <si>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검증</t>
    <phoneticPr fontId="2" type="noConversion"/>
  </si>
  <si>
    <t>손해보험</t>
    <phoneticPr fontId="2" type="noConversion"/>
  </si>
  <si>
    <t>2025.2Q</t>
    <phoneticPr fontId="2" type="noConversion"/>
  </si>
  <si>
    <t>발행보험의 보험수익 분석 공시</t>
  </si>
  <si>
    <t>당반기</t>
  </si>
  <si>
    <t>(단위 : 백만원)</t>
  </si>
  <si>
    <t>보험계약의 세분</t>
  </si>
  <si>
    <t>발행한 보험계약</t>
  </si>
  <si>
    <t>보험계약</t>
  </si>
  <si>
    <t>보험료배분접근법을 적용한 보험계약 외의 보험계약</t>
  </si>
  <si>
    <t>보험료배분접근법을 적용한 보험계약</t>
  </si>
  <si>
    <t>계약의 유형</t>
  </si>
  <si>
    <t>계약의 유형  합계</t>
  </si>
  <si>
    <t>장기보험</t>
  </si>
  <si>
    <t>일반보험</t>
  </si>
  <si>
    <t>3개월</t>
  </si>
  <si>
    <t>누적</t>
  </si>
  <si>
    <t>보험수익, 예상 보험금 (기초 예상 측정치)</t>
  </si>
  <si>
    <t>보험수익, 예상 유지비 (기초 예상 측정치)</t>
  </si>
  <si>
    <t>보험수익, 예상 투자관리비 (기초 예상 측정치)</t>
  </si>
  <si>
    <t>보험수익, 예상 손해조사비 (기초 예상 측정치)</t>
  </si>
  <si>
    <t>보험수익, 비금융위험에 대한 위험조정의 변동분</t>
  </si>
  <si>
    <t>보험수익, 서비스의 이전으로 당기손익에 인식한 보험계약마진</t>
  </si>
  <si>
    <t>보험수익, 보험취득 현금흐름의 회수와 관련되는 보험료 부분의 배분액</t>
  </si>
  <si>
    <t>보험수익</t>
  </si>
  <si>
    <t>발행보험의 보험서비스비용 분석 공시</t>
  </si>
  <si>
    <t>보험서비스비용, 발생한 보험금</t>
  </si>
  <si>
    <t>보험서비스비용, 그 밖의 발생한 보험서비스비용</t>
  </si>
  <si>
    <t>보험서비스비용, 발생한 손해조사비</t>
  </si>
  <si>
    <t>보험서비스비용, 발생한 투자관리비</t>
  </si>
  <si>
    <t>보험서비스비용, 발생한 유지비</t>
  </si>
  <si>
    <t>보험서비스비용, 과거 서비스와 관련된 금액</t>
  </si>
  <si>
    <t>보험서비스비용, 미래 서비스와 관련된 변동분에 관련된 금액</t>
  </si>
  <si>
    <t>보험서비스비용, 보험취득 현금흐름의 상각에 따른 금액</t>
  </si>
  <si>
    <t>재보험비용의 보험서비스비용 분석 공시</t>
  </si>
  <si>
    <t>보유 재보험계약</t>
  </si>
  <si>
    <t>재보험수익, 과거 서비스와 관련된 금액</t>
  </si>
  <si>
    <t>재보험수익, 발생한 보험금</t>
  </si>
  <si>
    <t>재보험수익, 그 밖의 발생한 재보험수익</t>
  </si>
  <si>
    <t>재보험수익, 미래 서비스와 관련된 변동분에 관련된 금액</t>
  </si>
  <si>
    <t>재보험비용 분석 공시</t>
  </si>
  <si>
    <t>재보험비용, 보고기간에 발생한 보험서비스비용 (기초 예상 측정치)</t>
  </si>
  <si>
    <t>재보험비용, 예상 보험금 (기초 예상 측정치)</t>
  </si>
  <si>
    <t>재보험비용, 비금융위험에 대한 위험조정의 변동분</t>
  </si>
  <si>
    <t>재보험비용, 서비스의 이전으로 당기손익에 인식한 보험계약마진</t>
  </si>
  <si>
    <t>재보험비용, 그 밖의 금액</t>
  </si>
  <si>
    <t>코리안리</t>
    <phoneticPr fontId="2" type="noConversion"/>
  </si>
  <si>
    <t>KR1000</t>
    <phoneticPr fontId="2" type="noConversion"/>
  </si>
  <si>
    <t>19. 보험서비스결과</t>
  </si>
  <si>
    <t>보험계약  합계</t>
  </si>
  <si>
    <t>생명보험</t>
  </si>
  <si>
    <t>보험수익, 손실요소 배분액</t>
  </si>
  <si>
    <t>보험수익, 그 밖의 금액</t>
  </si>
  <si>
    <t>보험비용</t>
  </si>
  <si>
    <t>보험서비스비용, 손실요소 배분액</t>
  </si>
  <si>
    <t>20. 재보험서비스결과</t>
  </si>
  <si>
    <t>재보험자에게서 회수한 금액에서 생기는 수익</t>
  </si>
  <si>
    <t>재보험수익, 손실회수요소 배분액</t>
  </si>
  <si>
    <t>재보험자에게 지급된 보험료 배분액에서 생기는 비용</t>
  </si>
  <si>
    <t>재보험비용, 손실회수요소 배분액</t>
  </si>
  <si>
    <t>생명재보험 수재손익</t>
    <phoneticPr fontId="2" type="noConversion"/>
  </si>
  <si>
    <t>생명재보험 손익</t>
    <phoneticPr fontId="2" type="noConversion"/>
  </si>
  <si>
    <t>수재 CSM상각</t>
    <phoneticPr fontId="2" type="noConversion"/>
  </si>
  <si>
    <t>수재 위험조정 변동</t>
    <phoneticPr fontId="2" type="noConversion"/>
  </si>
  <si>
    <t>수재 예실차</t>
    <phoneticPr fontId="2" type="noConversion"/>
  </si>
  <si>
    <t>기타 생명재보험 수재손익</t>
    <phoneticPr fontId="2" type="noConversion"/>
  </si>
  <si>
    <t>생명재보험 출재손익</t>
    <phoneticPr fontId="2" type="noConversion"/>
  </si>
  <si>
    <t>출재 CSM상각</t>
    <phoneticPr fontId="2" type="noConversion"/>
  </si>
  <si>
    <t>출재 위험조정 변동</t>
    <phoneticPr fontId="2" type="noConversion"/>
  </si>
  <si>
    <t>출재 예실차</t>
    <phoneticPr fontId="2" type="noConversion"/>
  </si>
  <si>
    <t>기타 생명재보험 출재손익</t>
    <phoneticPr fontId="2" type="noConversion"/>
  </si>
  <si>
    <t>장기재보험 손익</t>
    <phoneticPr fontId="2" type="noConversion"/>
  </si>
  <si>
    <t>장기재보험 수재손익</t>
    <phoneticPr fontId="2" type="noConversion"/>
  </si>
  <si>
    <t>기타 장기재보험 수재손익</t>
    <phoneticPr fontId="2" type="noConversion"/>
  </si>
  <si>
    <t>장기재보험 출재손익</t>
    <phoneticPr fontId="2" type="noConversion"/>
  </si>
  <si>
    <t>기타 장기재보험 출재손익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</si>
</sst>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/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0" xfId="0" applyAlignment="1"/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2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3" fontId="1" fillId="0" borderId="27" xfId="0" applyNumberFormat="1" applyFont="1" applyBorder="1" applyAlignment="1">
      <alignment horizontal="right" vertical="center" wrapText="1"/>
    </xf>
    <xf numFmtId="0" fontId="1" fillId="0" borderId="28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L36"/>
  <sheetViews>
    <sheetView tabSelected="1" workbookViewId="0"/>
  </sheetViews>
  <sheetFormatPr defaultRowHeight="16.899999999999999" x14ac:dyDescent="0.6"/>
  <cols>
    <col min="5" max="5" width="9.1875" bestFit="1" customWidth="1"/>
    <col min="6" max="6" width="20.875" bestFit="1" customWidth="1"/>
    <col min="8" max="8" width="16.625" bestFit="1" customWidth="1"/>
  </cols>
  <sheetData>
    <row r="1" spans="1:12" x14ac:dyDescent="0.6">
      <c r="A1" s="7" t="s">
        <v>21</v>
      </c>
      <c r="B1" s="7" t="s">
        <v>20</v>
      </c>
      <c r="C1" s="7" t="s">
        <v>19</v>
      </c>
      <c r="D1" s="7" t="s">
        <v>18</v>
      </c>
      <c r="E1" s="7" t="s">
        <v>17</v>
      </c>
      <c r="F1" s="7" t="s">
        <v>16</v>
      </c>
      <c r="G1" s="7" t="s">
        <v>0</v>
      </c>
      <c r="H1" s="7" t="s">
        <v>15</v>
      </c>
      <c r="I1" s="7" t="s">
        <v>22</v>
      </c>
    </row>
    <row r="2" spans="1:12" x14ac:dyDescent="0.6">
      <c r="A2" s="7" t="s">
        <v>69</v>
      </c>
      <c r="B2" s="7" t="s">
        <v>68</v>
      </c>
      <c r="C2" s="7"/>
      <c r="D2" s="7" t="s">
        <v>3</v>
      </c>
      <c r="E2" s="7">
        <v>1</v>
      </c>
      <c r="F2" t="s">
        <v>14</v>
      </c>
      <c r="G2" s="7" t="s">
        <v>24</v>
      </c>
      <c r="H2" s="1">
        <f>H3+H14+H25+H26-H28</f>
        <v>159685.535729</v>
      </c>
      <c r="I2" s="1" t="b">
        <f>ABS(ROUND(H2,0)-159686.803902
)&lt;2</f>
        <v>1</v>
      </c>
      <c r="L2" s="1"/>
    </row>
    <row r="3" spans="1:12" x14ac:dyDescent="0.6">
      <c r="A3" s="7" t="s">
        <v>69</v>
      </c>
      <c r="B3" s="7" t="s">
        <v>68</v>
      </c>
      <c r="C3" s="7"/>
      <c r="D3" s="7" t="s">
        <v>3</v>
      </c>
      <c r="E3">
        <f t="shared" ref="E3" si="0">E2+1</f>
        <v>2</v>
      </c>
      <c r="F3" t="s">
        <v>83</v>
      </c>
      <c r="G3" t="s">
        <v>24</v>
      </c>
      <c r="H3" s="1">
        <f>H4+H9</f>
        <v>61871</v>
      </c>
    </row>
    <row r="4" spans="1:12" x14ac:dyDescent="0.6">
      <c r="A4" s="7" t="s">
        <v>69</v>
      </c>
      <c r="B4" s="7" t="s">
        <v>68</v>
      </c>
      <c r="C4" s="7"/>
      <c r="D4" s="7" t="s">
        <v>3</v>
      </c>
      <c r="E4">
        <f t="shared" ref="E4:E7" si="1">E3+1</f>
        <v>3</v>
      </c>
      <c r="F4" t="s">
        <v>82</v>
      </c>
      <c r="G4" t="s">
        <v>24</v>
      </c>
      <c r="H4" s="1">
        <f>보험손익!F14-보험손익!F34</f>
        <v>62688</v>
      </c>
      <c r="I4" s="1"/>
    </row>
    <row r="5" spans="1:12" x14ac:dyDescent="0.6">
      <c r="A5" s="7" t="s">
        <v>69</v>
      </c>
      <c r="B5" s="7" t="s">
        <v>68</v>
      </c>
      <c r="C5" s="7"/>
      <c r="D5" s="7" t="s">
        <v>3</v>
      </c>
      <c r="E5">
        <f t="shared" si="1"/>
        <v>4</v>
      </c>
      <c r="F5" t="s">
        <v>84</v>
      </c>
      <c r="G5" t="s">
        <v>24</v>
      </c>
      <c r="H5" s="1">
        <f>보험손익!F20</f>
        <v>20330</v>
      </c>
      <c r="K5" s="1"/>
    </row>
    <row r="6" spans="1:12" x14ac:dyDescent="0.6">
      <c r="A6" s="7" t="s">
        <v>69</v>
      </c>
      <c r="B6" s="7" t="s">
        <v>68</v>
      </c>
      <c r="C6" s="7"/>
      <c r="D6" s="7" t="s">
        <v>3</v>
      </c>
      <c r="E6">
        <f t="shared" si="1"/>
        <v>5</v>
      </c>
      <c r="F6" t="s">
        <v>85</v>
      </c>
      <c r="G6" t="s">
        <v>24</v>
      </c>
      <c r="H6" s="1">
        <f>보험손익!F19</f>
        <v>8435</v>
      </c>
      <c r="K6" s="1"/>
    </row>
    <row r="7" spans="1:12" x14ac:dyDescent="0.6">
      <c r="A7" s="7" t="s">
        <v>69</v>
      </c>
      <c r="B7" s="7" t="s">
        <v>68</v>
      </c>
      <c r="C7" s="7"/>
      <c r="D7" s="7" t="s">
        <v>3</v>
      </c>
      <c r="E7">
        <f t="shared" si="1"/>
        <v>6</v>
      </c>
      <c r="F7" t="s">
        <v>86</v>
      </c>
      <c r="G7" t="s">
        <v>24</v>
      </c>
      <c r="H7" s="1">
        <f>보험손익!F15+보험손익!F16+보험손익!F17+보험손익!F18-보험손익!F35-보험손익!F36-보험손익!F37</f>
        <v>-44982</v>
      </c>
      <c r="K7" s="1"/>
    </row>
    <row r="8" spans="1:12" x14ac:dyDescent="0.6">
      <c r="A8" s="7" t="s">
        <v>69</v>
      </c>
      <c r="B8" s="7" t="s">
        <v>68</v>
      </c>
      <c r="C8" s="7"/>
      <c r="D8" s="7" t="s">
        <v>23</v>
      </c>
      <c r="E8">
        <f t="shared" ref="E8:E36" si="2">E7+1</f>
        <v>7</v>
      </c>
      <c r="F8" t="s">
        <v>87</v>
      </c>
      <c r="G8" t="s">
        <v>24</v>
      </c>
      <c r="H8" s="1">
        <f>H4-SUM(H5:H7)</f>
        <v>78905</v>
      </c>
      <c r="K8" s="1"/>
    </row>
    <row r="9" spans="1:12" x14ac:dyDescent="0.6">
      <c r="A9" s="7" t="s">
        <v>69</v>
      </c>
      <c r="B9" s="7" t="s">
        <v>68</v>
      </c>
      <c r="C9" s="7"/>
      <c r="D9" s="7" t="s">
        <v>23</v>
      </c>
      <c r="E9">
        <f t="shared" si="2"/>
        <v>8</v>
      </c>
      <c r="F9" t="s">
        <v>88</v>
      </c>
      <c r="G9" t="s">
        <v>24</v>
      </c>
      <c r="H9" s="1">
        <f>보험손익!F56-보험손익!F72</f>
        <v>-817</v>
      </c>
      <c r="K9" s="1"/>
    </row>
    <row r="10" spans="1:12" x14ac:dyDescent="0.6">
      <c r="A10" s="7" t="s">
        <v>69</v>
      </c>
      <c r="B10" s="7" t="s">
        <v>68</v>
      </c>
      <c r="C10" s="7"/>
      <c r="D10" s="7" t="s">
        <v>23</v>
      </c>
      <c r="E10">
        <f t="shared" si="2"/>
        <v>9</v>
      </c>
      <c r="F10" t="s">
        <v>89</v>
      </c>
      <c r="G10" t="s">
        <v>24</v>
      </c>
      <c r="H10" s="1">
        <f>-보험손익!F76</f>
        <v>5502</v>
      </c>
      <c r="K10" s="1"/>
    </row>
    <row r="11" spans="1:12" x14ac:dyDescent="0.6">
      <c r="A11" s="7" t="s">
        <v>69</v>
      </c>
      <c r="B11" s="7" t="s">
        <v>68</v>
      </c>
      <c r="C11" s="7"/>
      <c r="D11" s="7" t="s">
        <v>23</v>
      </c>
      <c r="E11">
        <f t="shared" si="2"/>
        <v>10</v>
      </c>
      <c r="F11" t="s">
        <v>90</v>
      </c>
      <c r="G11" t="s">
        <v>24</v>
      </c>
      <c r="H11" s="1">
        <f>-보험손익!F75</f>
        <v>-350</v>
      </c>
      <c r="K11" s="1"/>
    </row>
    <row r="12" spans="1:12" x14ac:dyDescent="0.6">
      <c r="A12" s="7" t="s">
        <v>69</v>
      </c>
      <c r="B12" s="7" t="s">
        <v>68</v>
      </c>
      <c r="C12" s="7"/>
      <c r="D12" s="7" t="s">
        <v>23</v>
      </c>
      <c r="E12">
        <f t="shared" si="2"/>
        <v>11</v>
      </c>
      <c r="F12" t="s">
        <v>91</v>
      </c>
      <c r="G12" t="s">
        <v>24</v>
      </c>
      <c r="H12" s="1">
        <f>보험손익!F57-보험손익!F73-보험손익!F74</f>
        <v>13600</v>
      </c>
      <c r="K12" s="1"/>
    </row>
    <row r="13" spans="1:12" x14ac:dyDescent="0.6">
      <c r="A13" s="7" t="s">
        <v>69</v>
      </c>
      <c r="B13" s="7" t="s">
        <v>68</v>
      </c>
      <c r="C13" s="7"/>
      <c r="D13" s="7" t="s">
        <v>23</v>
      </c>
      <c r="E13">
        <f t="shared" si="2"/>
        <v>12</v>
      </c>
      <c r="F13" t="s">
        <v>92</v>
      </c>
      <c r="G13" t="s">
        <v>24</v>
      </c>
      <c r="H13" s="1">
        <f>H9-SUM(H10:H12)</f>
        <v>-19569</v>
      </c>
      <c r="K13" s="1"/>
    </row>
    <row r="14" spans="1:12" x14ac:dyDescent="0.6">
      <c r="A14" s="7" t="s">
        <v>69</v>
      </c>
      <c r="B14" s="7" t="s">
        <v>68</v>
      </c>
      <c r="C14" s="7"/>
      <c r="D14" s="7" t="s">
        <v>3</v>
      </c>
      <c r="E14" t="str">
        <f t="shared" ref="E14:E24" si="3">E3&amp;"-1"</f>
        <v>2-1</v>
      </c>
      <c r="F14" t="s">
        <v>93</v>
      </c>
      <c r="G14" t="s">
        <v>24</v>
      </c>
      <c r="H14" s="1">
        <f>H15+H20</f>
        <v>2721</v>
      </c>
    </row>
    <row r="15" spans="1:12" x14ac:dyDescent="0.6">
      <c r="A15" s="7" t="s">
        <v>69</v>
      </c>
      <c r="B15" s="7" t="s">
        <v>68</v>
      </c>
      <c r="C15" s="7"/>
      <c r="D15" s="7" t="s">
        <v>3</v>
      </c>
      <c r="E15" t="str">
        <f t="shared" si="3"/>
        <v>3-1</v>
      </c>
      <c r="F15" t="s">
        <v>94</v>
      </c>
      <c r="G15" t="s">
        <v>24</v>
      </c>
      <c r="H15" s="1">
        <f>보험손익!D14-보험손익!D34</f>
        <v>-15376</v>
      </c>
      <c r="I15" s="1"/>
    </row>
    <row r="16" spans="1:12" x14ac:dyDescent="0.6">
      <c r="A16" s="7" t="s">
        <v>69</v>
      </c>
      <c r="B16" s="7" t="s">
        <v>68</v>
      </c>
      <c r="C16" s="7"/>
      <c r="D16" s="7" t="s">
        <v>3</v>
      </c>
      <c r="E16" t="str">
        <f t="shared" si="3"/>
        <v>4-1</v>
      </c>
      <c r="F16" t="s">
        <v>84</v>
      </c>
      <c r="G16" t="s">
        <v>24</v>
      </c>
      <c r="H16" s="1">
        <f>보험손익!D20</f>
        <v>16529</v>
      </c>
      <c r="K16" s="1"/>
    </row>
    <row r="17" spans="1:11" x14ac:dyDescent="0.6">
      <c r="A17" s="7" t="s">
        <v>69</v>
      </c>
      <c r="B17" s="7" t="s">
        <v>68</v>
      </c>
      <c r="C17" s="7"/>
      <c r="D17" s="7" t="s">
        <v>3</v>
      </c>
      <c r="E17" t="str">
        <f t="shared" si="3"/>
        <v>5-1</v>
      </c>
      <c r="F17" t="s">
        <v>85</v>
      </c>
      <c r="G17" t="s">
        <v>24</v>
      </c>
      <c r="H17" s="1">
        <f>보험손익!D19</f>
        <v>6289</v>
      </c>
      <c r="K17" s="1"/>
    </row>
    <row r="18" spans="1:11" x14ac:dyDescent="0.6">
      <c r="A18" s="7" t="s">
        <v>69</v>
      </c>
      <c r="B18" s="7" t="s">
        <v>68</v>
      </c>
      <c r="C18" s="7"/>
      <c r="D18" s="7" t="s">
        <v>3</v>
      </c>
      <c r="E18" t="str">
        <f t="shared" si="3"/>
        <v>6-1</v>
      </c>
      <c r="F18" t="s">
        <v>86</v>
      </c>
      <c r="G18" t="s">
        <v>24</v>
      </c>
      <c r="H18" s="1">
        <f>보험손익!D15+보험손익!D16+보험손익!D17+보험손익!D18-보험손익!D35-보험손익!D36-보험손익!D37</f>
        <v>10431</v>
      </c>
      <c r="K18" s="1"/>
    </row>
    <row r="19" spans="1:11" x14ac:dyDescent="0.6">
      <c r="A19" s="7" t="s">
        <v>69</v>
      </c>
      <c r="B19" s="7" t="s">
        <v>68</v>
      </c>
      <c r="C19" s="7"/>
      <c r="D19" s="7" t="s">
        <v>23</v>
      </c>
      <c r="E19" t="str">
        <f t="shared" si="3"/>
        <v>7-1</v>
      </c>
      <c r="F19" t="s">
        <v>95</v>
      </c>
      <c r="G19" t="s">
        <v>24</v>
      </c>
      <c r="H19" s="1">
        <f>H15-SUM(H16:H18)</f>
        <v>-48625</v>
      </c>
      <c r="K19" s="1"/>
    </row>
    <row r="20" spans="1:11" x14ac:dyDescent="0.6">
      <c r="A20" s="7" t="s">
        <v>69</v>
      </c>
      <c r="B20" s="7" t="s">
        <v>68</v>
      </c>
      <c r="C20" s="7"/>
      <c r="D20" s="7" t="s">
        <v>23</v>
      </c>
      <c r="E20" t="str">
        <f t="shared" si="3"/>
        <v>8-1</v>
      </c>
      <c r="F20" t="s">
        <v>96</v>
      </c>
      <c r="G20" t="s">
        <v>24</v>
      </c>
      <c r="H20" s="1">
        <f>보험손익!D56-보험손익!D72</f>
        <v>18097</v>
      </c>
      <c r="K20" s="1"/>
    </row>
    <row r="21" spans="1:11" x14ac:dyDescent="0.6">
      <c r="A21" s="7" t="s">
        <v>69</v>
      </c>
      <c r="B21" s="7" t="s">
        <v>68</v>
      </c>
      <c r="C21" s="7"/>
      <c r="D21" s="7" t="s">
        <v>23</v>
      </c>
      <c r="E21" t="str">
        <f t="shared" si="3"/>
        <v>9-1</v>
      </c>
      <c r="F21" t="s">
        <v>89</v>
      </c>
      <c r="G21" t="s">
        <v>24</v>
      </c>
      <c r="H21" s="1">
        <f>-보험손익!D76</f>
        <v>-3653</v>
      </c>
      <c r="K21" s="1"/>
    </row>
    <row r="22" spans="1:11" x14ac:dyDescent="0.6">
      <c r="A22" s="7" t="s">
        <v>69</v>
      </c>
      <c r="B22" s="7" t="s">
        <v>68</v>
      </c>
      <c r="C22" s="7"/>
      <c r="D22" s="7" t="s">
        <v>23</v>
      </c>
      <c r="E22" t="str">
        <f t="shared" si="3"/>
        <v>10-1</v>
      </c>
      <c r="F22" t="s">
        <v>90</v>
      </c>
      <c r="G22" t="s">
        <v>24</v>
      </c>
      <c r="H22" s="1">
        <f>-보험손익!D75</f>
        <v>-88</v>
      </c>
      <c r="K22" s="1"/>
    </row>
    <row r="23" spans="1:11" x14ac:dyDescent="0.6">
      <c r="A23" s="7" t="s">
        <v>69</v>
      </c>
      <c r="B23" s="7" t="s">
        <v>68</v>
      </c>
      <c r="C23" s="7"/>
      <c r="D23" s="7" t="s">
        <v>23</v>
      </c>
      <c r="E23" t="str">
        <f t="shared" si="3"/>
        <v>11-1</v>
      </c>
      <c r="F23" t="s">
        <v>91</v>
      </c>
      <c r="G23" t="s">
        <v>24</v>
      </c>
      <c r="H23" s="1">
        <f>보험손익!D57-보험손익!D73-보험손익!D74</f>
        <v>-397</v>
      </c>
      <c r="K23" s="1"/>
    </row>
    <row r="24" spans="1:11" x14ac:dyDescent="0.6">
      <c r="A24" s="7" t="s">
        <v>69</v>
      </c>
      <c r="B24" s="7" t="s">
        <v>68</v>
      </c>
      <c r="C24" s="7"/>
      <c r="D24" s="7" t="s">
        <v>23</v>
      </c>
      <c r="E24" t="str">
        <f t="shared" si="3"/>
        <v>12-1</v>
      </c>
      <c r="F24" t="s">
        <v>97</v>
      </c>
      <c r="G24" t="s">
        <v>24</v>
      </c>
      <c r="H24" s="1">
        <f>H20-SUM(H21:H23)</f>
        <v>22235</v>
      </c>
      <c r="K24" s="1"/>
    </row>
    <row r="25" spans="1:11" x14ac:dyDescent="0.6">
      <c r="A25" s="7" t="s">
        <v>69</v>
      </c>
      <c r="B25" s="7" t="s">
        <v>68</v>
      </c>
      <c r="C25" s="7"/>
      <c r="D25" s="7" t="s">
        <v>23</v>
      </c>
      <c r="E25">
        <f>E13+1</f>
        <v>13</v>
      </c>
      <c r="F25" t="s">
        <v>13</v>
      </c>
      <c r="G25" t="s">
        <v>24</v>
      </c>
      <c r="H25" s="1"/>
    </row>
    <row r="26" spans="1:11" x14ac:dyDescent="0.6">
      <c r="A26" s="7" t="s">
        <v>69</v>
      </c>
      <c r="B26" s="7" t="s">
        <v>68</v>
      </c>
      <c r="C26" s="7"/>
      <c r="D26" s="7" t="s">
        <v>3</v>
      </c>
      <c r="E26">
        <f>E25+1</f>
        <v>14</v>
      </c>
      <c r="F26" t="s">
        <v>12</v>
      </c>
      <c r="G26" t="s">
        <v>24</v>
      </c>
      <c r="H26" s="1">
        <f>보험손익!P14-보험손익!P34-보험손익!P72+보험손익!P56</f>
        <v>145033</v>
      </c>
      <c r="I26" s="1"/>
    </row>
    <row r="27" spans="1:11" x14ac:dyDescent="0.6">
      <c r="A27" s="7" t="s">
        <v>69</v>
      </c>
      <c r="B27" s="7" t="s">
        <v>68</v>
      </c>
      <c r="C27" s="7"/>
      <c r="D27" s="7" t="s">
        <v>3</v>
      </c>
      <c r="E27">
        <f t="shared" si="2"/>
        <v>15</v>
      </c>
      <c r="F27" t="s">
        <v>8</v>
      </c>
      <c r="G27" t="s">
        <v>24</v>
      </c>
      <c r="H27" s="1"/>
    </row>
    <row r="28" spans="1:11" x14ac:dyDescent="0.6">
      <c r="A28" s="7" t="s">
        <v>69</v>
      </c>
      <c r="B28" s="7" t="s">
        <v>68</v>
      </c>
      <c r="C28" s="7"/>
      <c r="D28" s="7" t="s">
        <v>3</v>
      </c>
      <c r="E28">
        <f t="shared" si="2"/>
        <v>16</v>
      </c>
      <c r="F28" t="s">
        <v>7</v>
      </c>
      <c r="G28" t="s">
        <v>24</v>
      </c>
      <c r="H28" s="41">
        <f>49939464271/1000000</f>
        <v>49939.464270999997</v>
      </c>
      <c r="I28" s="42"/>
    </row>
    <row r="29" spans="1:11" x14ac:dyDescent="0.6">
      <c r="A29" s="7" t="s">
        <v>69</v>
      </c>
      <c r="B29" s="7" t="s">
        <v>68</v>
      </c>
      <c r="C29" s="7"/>
      <c r="D29" s="7" t="s">
        <v>3</v>
      </c>
      <c r="E29">
        <f t="shared" si="2"/>
        <v>17</v>
      </c>
      <c r="F29" t="s">
        <v>11</v>
      </c>
      <c r="G29" t="s">
        <v>24</v>
      </c>
      <c r="H29" s="1"/>
    </row>
    <row r="30" spans="1:11" x14ac:dyDescent="0.6">
      <c r="A30" s="7" t="s">
        <v>69</v>
      </c>
      <c r="B30" s="7" t="s">
        <v>68</v>
      </c>
      <c r="C30" s="7"/>
      <c r="D30" s="7" t="s">
        <v>3</v>
      </c>
      <c r="E30">
        <f t="shared" si="2"/>
        <v>18</v>
      </c>
      <c r="F30" t="s">
        <v>10</v>
      </c>
      <c r="G30" t="s">
        <v>24</v>
      </c>
      <c r="H30" s="1"/>
    </row>
    <row r="31" spans="1:11" x14ac:dyDescent="0.6">
      <c r="A31" s="7" t="s">
        <v>69</v>
      </c>
      <c r="B31" s="7" t="s">
        <v>68</v>
      </c>
      <c r="C31" s="7"/>
      <c r="D31" s="7" t="s">
        <v>3</v>
      </c>
      <c r="E31">
        <f t="shared" si="2"/>
        <v>19</v>
      </c>
      <c r="F31" t="s">
        <v>9</v>
      </c>
      <c r="G31" t="s">
        <v>24</v>
      </c>
      <c r="H31" s="1"/>
    </row>
    <row r="32" spans="1:11" x14ac:dyDescent="0.6">
      <c r="A32" s="7" t="s">
        <v>69</v>
      </c>
      <c r="B32" s="7" t="s">
        <v>68</v>
      </c>
      <c r="C32" s="7"/>
      <c r="D32" s="7" t="s">
        <v>3</v>
      </c>
      <c r="E32">
        <f t="shared" si="2"/>
        <v>20</v>
      </c>
      <c r="F32" t="s">
        <v>1</v>
      </c>
      <c r="G32" t="s">
        <v>24</v>
      </c>
      <c r="H32" s="1"/>
    </row>
    <row r="33" spans="1:9" x14ac:dyDescent="0.6">
      <c r="A33" s="7" t="s">
        <v>69</v>
      </c>
      <c r="B33" s="7" t="s">
        <v>68</v>
      </c>
      <c r="C33" s="7"/>
      <c r="D33" s="7" t="s">
        <v>3</v>
      </c>
      <c r="E33">
        <f t="shared" si="2"/>
        <v>21</v>
      </c>
      <c r="F33" t="s">
        <v>6</v>
      </c>
      <c r="G33" t="s">
        <v>24</v>
      </c>
      <c r="H33" s="1"/>
    </row>
    <row r="34" spans="1:9" x14ac:dyDescent="0.6">
      <c r="A34" s="7" t="s">
        <v>69</v>
      </c>
      <c r="B34" s="7" t="s">
        <v>68</v>
      </c>
      <c r="C34" s="7"/>
      <c r="D34" s="7" t="s">
        <v>3</v>
      </c>
      <c r="E34">
        <f t="shared" si="2"/>
        <v>22</v>
      </c>
      <c r="F34" t="s">
        <v>5</v>
      </c>
      <c r="G34" t="s">
        <v>24</v>
      </c>
      <c r="H34" s="1"/>
    </row>
    <row r="35" spans="1:9" x14ac:dyDescent="0.6">
      <c r="A35" s="7" t="s">
        <v>69</v>
      </c>
      <c r="B35" s="7" t="s">
        <v>68</v>
      </c>
      <c r="C35" s="7"/>
      <c r="D35" s="7" t="s">
        <v>3</v>
      </c>
      <c r="E35">
        <f t="shared" si="2"/>
        <v>23</v>
      </c>
      <c r="F35" t="s">
        <v>4</v>
      </c>
      <c r="G35" t="s">
        <v>24</v>
      </c>
      <c r="H35" s="1"/>
    </row>
    <row r="36" spans="1:9" x14ac:dyDescent="0.6">
      <c r="A36" s="7" t="s">
        <v>69</v>
      </c>
      <c r="B36" s="7" t="s">
        <v>68</v>
      </c>
      <c r="C36" s="7"/>
      <c r="D36" s="7" t="s">
        <v>3</v>
      </c>
      <c r="E36">
        <f t="shared" si="2"/>
        <v>24</v>
      </c>
      <c r="F36" t="s">
        <v>2</v>
      </c>
      <c r="G36" t="s">
        <v>24</v>
      </c>
      <c r="H36" s="1"/>
      <c r="I3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2:T80"/>
  <sheetViews>
    <sheetView zoomScaleNormal="100" workbookViewId="0">
      <pane xSplit="1" ySplit="1" topLeftCell="B20" activePane="bottomRight" state="frozen"/>
      <selection pane="topRight" activeCell="D1" sqref="D1"/>
      <selection pane="bottomLeft" activeCell="A2" sqref="A2"/>
      <selection pane="bottomRight" activeCell="P25" sqref="P25"/>
    </sheetView>
  </sheetViews>
  <sheetFormatPr defaultRowHeight="16.899999999999999" x14ac:dyDescent="0.6"/>
  <sheetData>
    <row r="2" spans="1:20" x14ac:dyDescent="0.6">
      <c r="A2" s="11" t="s">
        <v>70</v>
      </c>
    </row>
    <row r="3" spans="1:20" x14ac:dyDescent="0.6">
      <c r="A3" s="12"/>
    </row>
    <row r="4" spans="1:20" x14ac:dyDescent="0.6">
      <c r="A4" s="12"/>
    </row>
    <row r="5" spans="1:20" ht="27" customHeight="1" x14ac:dyDescent="0.6">
      <c r="A5" s="32" t="s">
        <v>25</v>
      </c>
      <c r="B5" s="32"/>
    </row>
    <row r="6" spans="1:20" ht="27" x14ac:dyDescent="0.6">
      <c r="A6" s="12" t="s">
        <v>26</v>
      </c>
      <c r="B6" s="13" t="s">
        <v>27</v>
      </c>
    </row>
    <row r="7" spans="1:20" x14ac:dyDescent="0.6">
      <c r="A7" s="8"/>
      <c r="B7" s="9"/>
      <c r="C7" s="33" t="s">
        <v>28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</row>
    <row r="8" spans="1:20" ht="17" customHeight="1" x14ac:dyDescent="0.6">
      <c r="A8" s="15"/>
      <c r="B8" s="14"/>
      <c r="C8" s="23" t="s">
        <v>29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36"/>
    </row>
    <row r="9" spans="1:20" x14ac:dyDescent="0.6">
      <c r="A9" s="15"/>
      <c r="B9" s="14"/>
      <c r="C9" s="23" t="s">
        <v>30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5"/>
      <c r="S9" s="26" t="s">
        <v>71</v>
      </c>
      <c r="T9" s="30"/>
    </row>
    <row r="10" spans="1:20" x14ac:dyDescent="0.6">
      <c r="A10" s="15"/>
      <c r="B10" s="14"/>
      <c r="C10" s="23" t="s">
        <v>31</v>
      </c>
      <c r="D10" s="24"/>
      <c r="E10" s="24"/>
      <c r="F10" s="24"/>
      <c r="G10" s="24"/>
      <c r="H10" s="24"/>
      <c r="I10" s="24"/>
      <c r="J10" s="25"/>
      <c r="K10" s="23" t="s">
        <v>32</v>
      </c>
      <c r="L10" s="24"/>
      <c r="M10" s="24"/>
      <c r="N10" s="24"/>
      <c r="O10" s="24"/>
      <c r="P10" s="24"/>
      <c r="Q10" s="24"/>
      <c r="R10" s="25"/>
      <c r="S10" s="39"/>
      <c r="T10" s="40"/>
    </row>
    <row r="11" spans="1:20" x14ac:dyDescent="0.6">
      <c r="A11" s="15"/>
      <c r="B11" s="14"/>
      <c r="C11" s="23" t="s">
        <v>33</v>
      </c>
      <c r="D11" s="24"/>
      <c r="E11" s="24"/>
      <c r="F11" s="24"/>
      <c r="G11" s="24"/>
      <c r="H11" s="25"/>
      <c r="I11" s="26" t="s">
        <v>34</v>
      </c>
      <c r="J11" s="27"/>
      <c r="K11" s="23" t="s">
        <v>33</v>
      </c>
      <c r="L11" s="24"/>
      <c r="M11" s="24"/>
      <c r="N11" s="24"/>
      <c r="O11" s="24"/>
      <c r="P11" s="25"/>
      <c r="Q11" s="26" t="s">
        <v>34</v>
      </c>
      <c r="R11" s="27"/>
      <c r="S11" s="39"/>
      <c r="T11" s="40"/>
    </row>
    <row r="12" spans="1:20" x14ac:dyDescent="0.6">
      <c r="A12" s="15"/>
      <c r="B12" s="14"/>
      <c r="C12" s="23" t="s">
        <v>35</v>
      </c>
      <c r="D12" s="25"/>
      <c r="E12" s="23" t="s">
        <v>72</v>
      </c>
      <c r="F12" s="25"/>
      <c r="G12" s="23" t="s">
        <v>36</v>
      </c>
      <c r="H12" s="25"/>
      <c r="I12" s="28"/>
      <c r="J12" s="29"/>
      <c r="K12" s="23" t="s">
        <v>35</v>
      </c>
      <c r="L12" s="25"/>
      <c r="M12" s="23" t="s">
        <v>72</v>
      </c>
      <c r="N12" s="25"/>
      <c r="O12" s="23" t="s">
        <v>36</v>
      </c>
      <c r="P12" s="25"/>
      <c r="Q12" s="28"/>
      <c r="R12" s="29"/>
      <c r="S12" s="28"/>
      <c r="T12" s="31"/>
    </row>
    <row r="13" spans="1:20" x14ac:dyDescent="0.6">
      <c r="A13" s="15"/>
      <c r="B13" s="14"/>
      <c r="C13" s="14" t="s">
        <v>37</v>
      </c>
      <c r="D13" s="14" t="s">
        <v>38</v>
      </c>
      <c r="E13" s="14" t="s">
        <v>37</v>
      </c>
      <c r="F13" s="14" t="s">
        <v>38</v>
      </c>
      <c r="G13" s="14" t="s">
        <v>37</v>
      </c>
      <c r="H13" s="14" t="s">
        <v>38</v>
      </c>
      <c r="I13" s="14" t="s">
        <v>37</v>
      </c>
      <c r="J13" s="14" t="s">
        <v>38</v>
      </c>
      <c r="K13" s="14" t="s">
        <v>37</v>
      </c>
      <c r="L13" s="14" t="s">
        <v>38</v>
      </c>
      <c r="M13" s="14" t="s">
        <v>37</v>
      </c>
      <c r="N13" s="14" t="s">
        <v>38</v>
      </c>
      <c r="O13" s="14" t="s">
        <v>37</v>
      </c>
      <c r="P13" s="14" t="s">
        <v>38</v>
      </c>
      <c r="Q13" s="14" t="s">
        <v>37</v>
      </c>
      <c r="R13" s="14" t="s">
        <v>38</v>
      </c>
      <c r="S13" s="14" t="s">
        <v>37</v>
      </c>
      <c r="T13" s="16" t="s">
        <v>38</v>
      </c>
    </row>
    <row r="14" spans="1:20" x14ac:dyDescent="0.6">
      <c r="A14" s="18" t="s">
        <v>46</v>
      </c>
      <c r="B14" s="19"/>
      <c r="C14" s="2">
        <v>157478</v>
      </c>
      <c r="D14" s="2">
        <v>309688</v>
      </c>
      <c r="E14" s="2">
        <v>176030</v>
      </c>
      <c r="F14" s="2">
        <v>353615</v>
      </c>
      <c r="G14" s="3">
        <v>0</v>
      </c>
      <c r="H14" s="3">
        <v>0</v>
      </c>
      <c r="I14" s="2">
        <v>333508</v>
      </c>
      <c r="J14" s="2">
        <v>663303</v>
      </c>
      <c r="K14" s="3">
        <v>0</v>
      </c>
      <c r="L14" s="3">
        <v>0</v>
      </c>
      <c r="M14" s="3">
        <v>0</v>
      </c>
      <c r="N14" s="3">
        <v>0</v>
      </c>
      <c r="O14" s="2">
        <v>889966</v>
      </c>
      <c r="P14" s="2">
        <v>1719380</v>
      </c>
      <c r="Q14" s="2">
        <v>889966</v>
      </c>
      <c r="R14" s="2">
        <v>1719380</v>
      </c>
      <c r="S14" s="2">
        <v>1223474</v>
      </c>
      <c r="T14" s="4">
        <v>2382683</v>
      </c>
    </row>
    <row r="15" spans="1:20" ht="27" customHeight="1" x14ac:dyDescent="0.6">
      <c r="A15" s="20" t="s">
        <v>46</v>
      </c>
      <c r="B15" s="10" t="s">
        <v>39</v>
      </c>
      <c r="C15" s="2">
        <v>138421</v>
      </c>
      <c r="D15" s="2">
        <v>283211</v>
      </c>
      <c r="E15" s="2">
        <v>140715</v>
      </c>
      <c r="F15" s="2">
        <v>301343</v>
      </c>
      <c r="G15" s="3">
        <v>0</v>
      </c>
      <c r="H15" s="3">
        <v>0</v>
      </c>
      <c r="I15" s="2">
        <v>279136</v>
      </c>
      <c r="J15" s="2">
        <v>584554</v>
      </c>
      <c r="K15" s="3"/>
      <c r="L15" s="3"/>
      <c r="M15" s="3"/>
      <c r="N15" s="3"/>
      <c r="O15" s="3"/>
      <c r="P15" s="3"/>
      <c r="Q15" s="3"/>
      <c r="R15" s="3"/>
      <c r="S15" s="3"/>
      <c r="T15" s="6"/>
    </row>
    <row r="16" spans="1:20" ht="27" customHeight="1" x14ac:dyDescent="0.6">
      <c r="A16" s="21"/>
      <c r="B16" s="10" t="s">
        <v>42</v>
      </c>
      <c r="C16" s="2">
        <v>12557</v>
      </c>
      <c r="D16" s="2">
        <v>26225</v>
      </c>
      <c r="E16" s="3">
        <v>292</v>
      </c>
      <c r="F16" s="3">
        <v>578</v>
      </c>
      <c r="G16" s="3">
        <v>0</v>
      </c>
      <c r="H16" s="3">
        <v>0</v>
      </c>
      <c r="I16" s="2">
        <v>12849</v>
      </c>
      <c r="J16" s="2">
        <v>26803</v>
      </c>
      <c r="K16" s="3"/>
      <c r="L16" s="3"/>
      <c r="M16" s="3"/>
      <c r="N16" s="3"/>
      <c r="O16" s="3"/>
      <c r="P16" s="3"/>
      <c r="Q16" s="3"/>
      <c r="R16" s="3"/>
      <c r="S16" s="3"/>
      <c r="T16" s="6"/>
    </row>
    <row r="17" spans="1:20" ht="40.5" customHeight="1" x14ac:dyDescent="0.6">
      <c r="A17" s="21"/>
      <c r="B17" s="10" t="s">
        <v>40</v>
      </c>
      <c r="C17" s="2">
        <v>1469</v>
      </c>
      <c r="D17" s="2">
        <v>2972</v>
      </c>
      <c r="E17" s="2">
        <v>2991</v>
      </c>
      <c r="F17" s="2">
        <v>5997</v>
      </c>
      <c r="G17" s="3">
        <v>0</v>
      </c>
      <c r="H17" s="3">
        <v>0</v>
      </c>
      <c r="I17" s="2">
        <v>4460</v>
      </c>
      <c r="J17" s="2">
        <v>8969</v>
      </c>
      <c r="K17" s="3"/>
      <c r="L17" s="3"/>
      <c r="M17" s="3"/>
      <c r="N17" s="3"/>
      <c r="O17" s="3"/>
      <c r="P17" s="3"/>
      <c r="Q17" s="3"/>
      <c r="R17" s="3"/>
      <c r="S17" s="3"/>
      <c r="T17" s="6"/>
    </row>
    <row r="18" spans="1:20" ht="40.5" customHeight="1" x14ac:dyDescent="0.6">
      <c r="A18" s="21"/>
      <c r="B18" s="10" t="s">
        <v>41</v>
      </c>
      <c r="C18" s="3">
        <v>13</v>
      </c>
      <c r="D18" s="3">
        <v>17</v>
      </c>
      <c r="E18" s="3">
        <v>412</v>
      </c>
      <c r="F18" s="3">
        <v>823</v>
      </c>
      <c r="G18" s="3">
        <v>0</v>
      </c>
      <c r="H18" s="3">
        <v>0</v>
      </c>
      <c r="I18" s="3">
        <v>425</v>
      </c>
      <c r="J18" s="3">
        <v>840</v>
      </c>
      <c r="K18" s="3"/>
      <c r="L18" s="3"/>
      <c r="M18" s="3"/>
      <c r="N18" s="3"/>
      <c r="O18" s="3"/>
      <c r="P18" s="3"/>
      <c r="Q18" s="3"/>
      <c r="R18" s="3"/>
      <c r="S18" s="3"/>
      <c r="T18" s="6"/>
    </row>
    <row r="19" spans="1:20" ht="40.5" customHeight="1" x14ac:dyDescent="0.6">
      <c r="A19" s="21"/>
      <c r="B19" s="10" t="s">
        <v>43</v>
      </c>
      <c r="C19" s="2">
        <v>3081</v>
      </c>
      <c r="D19" s="2">
        <v>6289</v>
      </c>
      <c r="E19" s="2">
        <v>3905</v>
      </c>
      <c r="F19" s="2">
        <v>8435</v>
      </c>
      <c r="G19" s="3">
        <v>0</v>
      </c>
      <c r="H19" s="3">
        <v>0</v>
      </c>
      <c r="I19" s="2">
        <v>6986</v>
      </c>
      <c r="J19" s="2">
        <v>14724</v>
      </c>
      <c r="K19" s="3"/>
      <c r="L19" s="3"/>
      <c r="M19" s="3"/>
      <c r="N19" s="3"/>
      <c r="O19" s="3"/>
      <c r="P19" s="3"/>
      <c r="Q19" s="3"/>
      <c r="R19" s="3"/>
      <c r="S19" s="3"/>
      <c r="T19" s="6"/>
    </row>
    <row r="20" spans="1:20" ht="94.5" x14ac:dyDescent="0.6">
      <c r="A20" s="21"/>
      <c r="B20" s="10" t="s">
        <v>44</v>
      </c>
      <c r="C20" s="2">
        <v>8353</v>
      </c>
      <c r="D20" s="2">
        <v>16529</v>
      </c>
      <c r="E20" s="2">
        <v>10118</v>
      </c>
      <c r="F20" s="2">
        <v>20330</v>
      </c>
      <c r="G20" s="3">
        <v>0</v>
      </c>
      <c r="H20" s="3">
        <v>0</v>
      </c>
      <c r="I20" s="2">
        <v>18471</v>
      </c>
      <c r="J20" s="2">
        <v>36859</v>
      </c>
      <c r="K20" s="3"/>
      <c r="L20" s="3"/>
      <c r="M20" s="3"/>
      <c r="N20" s="3"/>
      <c r="O20" s="3"/>
      <c r="P20" s="3"/>
      <c r="Q20" s="3"/>
      <c r="R20" s="3"/>
      <c r="S20" s="3"/>
      <c r="T20" s="6"/>
    </row>
    <row r="21" spans="1:20" ht="108" x14ac:dyDescent="0.6">
      <c r="A21" s="21"/>
      <c r="B21" s="10" t="s">
        <v>45</v>
      </c>
      <c r="C21" s="3">
        <v>33</v>
      </c>
      <c r="D21" s="3">
        <v>59</v>
      </c>
      <c r="E21" s="3">
        <v>69</v>
      </c>
      <c r="F21" s="3">
        <v>151</v>
      </c>
      <c r="G21" s="3">
        <v>0</v>
      </c>
      <c r="H21" s="3">
        <v>0</v>
      </c>
      <c r="I21" s="3">
        <v>102</v>
      </c>
      <c r="J21" s="3">
        <v>210</v>
      </c>
      <c r="K21" s="3"/>
      <c r="L21" s="3"/>
      <c r="M21" s="3"/>
      <c r="N21" s="3"/>
      <c r="O21" s="3"/>
      <c r="P21" s="3"/>
      <c r="Q21" s="3"/>
      <c r="R21" s="3"/>
      <c r="S21" s="3"/>
      <c r="T21" s="6"/>
    </row>
    <row r="22" spans="1:20" ht="40.5" x14ac:dyDescent="0.6">
      <c r="A22" s="21"/>
      <c r="B22" s="10" t="s">
        <v>73</v>
      </c>
      <c r="C22" s="3">
        <v>-543</v>
      </c>
      <c r="D22" s="2">
        <v>-1329</v>
      </c>
      <c r="E22" s="2">
        <v>-1657</v>
      </c>
      <c r="F22" s="2">
        <v>-3123</v>
      </c>
      <c r="G22" s="3">
        <v>0</v>
      </c>
      <c r="H22" s="3">
        <v>0</v>
      </c>
      <c r="I22" s="2">
        <v>-2200</v>
      </c>
      <c r="J22" s="2">
        <v>-4452</v>
      </c>
      <c r="K22" s="3"/>
      <c r="L22" s="3"/>
      <c r="M22" s="3"/>
      <c r="N22" s="3"/>
      <c r="O22" s="3"/>
      <c r="P22" s="3"/>
      <c r="Q22" s="3"/>
      <c r="R22" s="3"/>
      <c r="S22" s="3"/>
      <c r="T22" s="6"/>
    </row>
    <row r="23" spans="1:20" ht="27" customHeight="1" x14ac:dyDescent="0.6">
      <c r="A23" s="22"/>
      <c r="B23" s="37" t="s">
        <v>74</v>
      </c>
      <c r="C23" s="5">
        <v>-5906</v>
      </c>
      <c r="D23" s="5">
        <v>-24285</v>
      </c>
      <c r="E23" s="5">
        <v>19185</v>
      </c>
      <c r="F23" s="5">
        <v>19081</v>
      </c>
      <c r="G23" s="17">
        <v>0</v>
      </c>
      <c r="H23" s="17">
        <v>0</v>
      </c>
      <c r="I23" s="5">
        <v>13279</v>
      </c>
      <c r="J23" s="5">
        <v>-5204</v>
      </c>
      <c r="K23" s="17"/>
      <c r="L23" s="17"/>
      <c r="M23" s="17"/>
      <c r="N23" s="17"/>
      <c r="O23" s="17"/>
      <c r="P23" s="17"/>
      <c r="Q23" s="17"/>
      <c r="R23" s="17"/>
      <c r="S23" s="17"/>
      <c r="T23" s="38"/>
    </row>
    <row r="24" spans="1:20" ht="27" customHeight="1" x14ac:dyDescent="0.6">
      <c r="A24" s="12"/>
    </row>
    <row r="25" spans="1:20" ht="27" customHeight="1" x14ac:dyDescent="0.6">
      <c r="A25" s="32" t="s">
        <v>47</v>
      </c>
      <c r="B25" s="32"/>
      <c r="D25" s="1">
        <f>D14-D34-D72+D56</f>
        <v>2721</v>
      </c>
      <c r="F25" s="1">
        <f>F14-F34-F72+F56</f>
        <v>61871</v>
      </c>
      <c r="J25" s="1">
        <f>J14-J34-J72+J56</f>
        <v>64592</v>
      </c>
    </row>
    <row r="26" spans="1:20" ht="27" customHeight="1" x14ac:dyDescent="0.6">
      <c r="A26" s="12" t="s">
        <v>26</v>
      </c>
      <c r="B26" s="13" t="s">
        <v>27</v>
      </c>
    </row>
    <row r="27" spans="1:20" ht="27" customHeight="1" x14ac:dyDescent="0.6">
      <c r="A27" s="8"/>
      <c r="B27" s="9"/>
      <c r="C27" s="33" t="s">
        <v>28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</row>
    <row r="28" spans="1:20" x14ac:dyDescent="0.6">
      <c r="A28" s="15"/>
      <c r="B28" s="14"/>
      <c r="C28" s="23" t="s">
        <v>29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36"/>
    </row>
    <row r="29" spans="1:20" x14ac:dyDescent="0.6">
      <c r="A29" s="15"/>
      <c r="B29" s="14"/>
      <c r="C29" s="23" t="s">
        <v>30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5"/>
      <c r="S29" s="26" t="s">
        <v>71</v>
      </c>
      <c r="T29" s="30"/>
    </row>
    <row r="30" spans="1:20" x14ac:dyDescent="0.6">
      <c r="A30" s="15"/>
      <c r="B30" s="14"/>
      <c r="C30" s="23" t="s">
        <v>31</v>
      </c>
      <c r="D30" s="24"/>
      <c r="E30" s="24"/>
      <c r="F30" s="24"/>
      <c r="G30" s="24"/>
      <c r="H30" s="24"/>
      <c r="I30" s="24"/>
      <c r="J30" s="25"/>
      <c r="K30" s="23" t="s">
        <v>32</v>
      </c>
      <c r="L30" s="24"/>
      <c r="M30" s="24"/>
      <c r="N30" s="24"/>
      <c r="O30" s="24"/>
      <c r="P30" s="24"/>
      <c r="Q30" s="24"/>
      <c r="R30" s="25"/>
      <c r="S30" s="39"/>
      <c r="T30" s="40"/>
    </row>
    <row r="31" spans="1:20" x14ac:dyDescent="0.6">
      <c r="A31" s="15"/>
      <c r="B31" s="14"/>
      <c r="C31" s="23" t="s">
        <v>33</v>
      </c>
      <c r="D31" s="24"/>
      <c r="E31" s="24"/>
      <c r="F31" s="24"/>
      <c r="G31" s="24"/>
      <c r="H31" s="25"/>
      <c r="I31" s="26" t="s">
        <v>34</v>
      </c>
      <c r="J31" s="27"/>
      <c r="K31" s="23" t="s">
        <v>33</v>
      </c>
      <c r="L31" s="24"/>
      <c r="M31" s="24"/>
      <c r="N31" s="24"/>
      <c r="O31" s="24"/>
      <c r="P31" s="25"/>
      <c r="Q31" s="26" t="s">
        <v>34</v>
      </c>
      <c r="R31" s="27"/>
      <c r="S31" s="39"/>
      <c r="T31" s="40"/>
    </row>
    <row r="32" spans="1:20" x14ac:dyDescent="0.6">
      <c r="A32" s="15"/>
      <c r="B32" s="14"/>
      <c r="C32" s="23" t="s">
        <v>35</v>
      </c>
      <c r="D32" s="25"/>
      <c r="E32" s="23" t="s">
        <v>72</v>
      </c>
      <c r="F32" s="25"/>
      <c r="G32" s="23" t="s">
        <v>36</v>
      </c>
      <c r="H32" s="25"/>
      <c r="I32" s="28"/>
      <c r="J32" s="29"/>
      <c r="K32" s="23" t="s">
        <v>35</v>
      </c>
      <c r="L32" s="25"/>
      <c r="M32" s="23" t="s">
        <v>72</v>
      </c>
      <c r="N32" s="25"/>
      <c r="O32" s="23" t="s">
        <v>36</v>
      </c>
      <c r="P32" s="25"/>
      <c r="Q32" s="28"/>
      <c r="R32" s="29"/>
      <c r="S32" s="28"/>
      <c r="T32" s="31"/>
    </row>
    <row r="33" spans="1:20" x14ac:dyDescent="0.6">
      <c r="A33" s="15"/>
      <c r="B33" s="14"/>
      <c r="C33" s="14" t="s">
        <v>37</v>
      </c>
      <c r="D33" s="14" t="s">
        <v>38</v>
      </c>
      <c r="E33" s="14" t="s">
        <v>37</v>
      </c>
      <c r="F33" s="14" t="s">
        <v>38</v>
      </c>
      <c r="G33" s="14" t="s">
        <v>37</v>
      </c>
      <c r="H33" s="14" t="s">
        <v>38</v>
      </c>
      <c r="I33" s="14" t="s">
        <v>37</v>
      </c>
      <c r="J33" s="14" t="s">
        <v>38</v>
      </c>
      <c r="K33" s="14" t="s">
        <v>37</v>
      </c>
      <c r="L33" s="14" t="s">
        <v>38</v>
      </c>
      <c r="M33" s="14" t="s">
        <v>37</v>
      </c>
      <c r="N33" s="14" t="s">
        <v>38</v>
      </c>
      <c r="O33" s="14" t="s">
        <v>37</v>
      </c>
      <c r="P33" s="14" t="s">
        <v>38</v>
      </c>
      <c r="Q33" s="14" t="s">
        <v>37</v>
      </c>
      <c r="R33" s="14" t="s">
        <v>38</v>
      </c>
      <c r="S33" s="14" t="s">
        <v>37</v>
      </c>
      <c r="T33" s="16" t="s">
        <v>38</v>
      </c>
    </row>
    <row r="34" spans="1:20" ht="27" customHeight="1" x14ac:dyDescent="0.6">
      <c r="A34" s="18" t="s">
        <v>75</v>
      </c>
      <c r="B34" s="19"/>
      <c r="C34" s="2">
        <v>147486</v>
      </c>
      <c r="D34" s="2">
        <v>325064</v>
      </c>
      <c r="E34" s="2">
        <v>124967</v>
      </c>
      <c r="F34" s="2">
        <v>290927</v>
      </c>
      <c r="G34" s="3">
        <v>0</v>
      </c>
      <c r="H34" s="3">
        <v>0</v>
      </c>
      <c r="I34" s="2">
        <v>272453</v>
      </c>
      <c r="J34" s="2">
        <v>615991</v>
      </c>
      <c r="K34" s="3">
        <v>0</v>
      </c>
      <c r="L34" s="3">
        <v>0</v>
      </c>
      <c r="M34" s="3">
        <v>0</v>
      </c>
      <c r="N34" s="3">
        <v>0</v>
      </c>
      <c r="O34" s="2">
        <v>822274</v>
      </c>
      <c r="P34" s="2">
        <v>1415112</v>
      </c>
      <c r="Q34" s="2">
        <v>822274</v>
      </c>
      <c r="R34" s="2">
        <v>1415112</v>
      </c>
      <c r="S34" s="2">
        <v>1094727</v>
      </c>
      <c r="T34" s="4">
        <v>2031103</v>
      </c>
    </row>
    <row r="35" spans="1:20" ht="54" x14ac:dyDescent="0.6">
      <c r="A35" s="20" t="s">
        <v>75</v>
      </c>
      <c r="B35" s="10" t="s">
        <v>48</v>
      </c>
      <c r="C35" s="2">
        <v>144060</v>
      </c>
      <c r="D35" s="2">
        <v>273840</v>
      </c>
      <c r="E35" s="2">
        <v>193858</v>
      </c>
      <c r="F35" s="2">
        <v>344569</v>
      </c>
      <c r="G35" s="3">
        <v>0</v>
      </c>
      <c r="H35" s="3">
        <v>0</v>
      </c>
      <c r="I35" s="2">
        <v>337918</v>
      </c>
      <c r="J35" s="2">
        <v>618409</v>
      </c>
      <c r="K35" s="3"/>
      <c r="L35" s="3"/>
      <c r="M35" s="3"/>
      <c r="N35" s="3"/>
      <c r="O35" s="3"/>
      <c r="P35" s="3"/>
      <c r="Q35" s="3"/>
      <c r="R35" s="3"/>
      <c r="S35" s="3"/>
      <c r="T35" s="6"/>
    </row>
    <row r="36" spans="1:20" ht="54" x14ac:dyDescent="0.6">
      <c r="A36" s="21"/>
      <c r="B36" s="10" t="s">
        <v>50</v>
      </c>
      <c r="C36" s="2">
        <v>12429</v>
      </c>
      <c r="D36" s="2">
        <v>25243</v>
      </c>
      <c r="E36" s="3">
        <v>450</v>
      </c>
      <c r="F36" s="3">
        <v>784</v>
      </c>
      <c r="G36" s="3">
        <v>0</v>
      </c>
      <c r="H36" s="3">
        <v>0</v>
      </c>
      <c r="I36" s="2">
        <v>12879</v>
      </c>
      <c r="J36" s="2">
        <v>26027</v>
      </c>
      <c r="K36" s="3"/>
      <c r="L36" s="3"/>
      <c r="M36" s="3"/>
      <c r="N36" s="3"/>
      <c r="O36" s="3"/>
      <c r="P36" s="3"/>
      <c r="Q36" s="3"/>
      <c r="R36" s="3"/>
      <c r="S36" s="3"/>
      <c r="T36" s="6"/>
    </row>
    <row r="37" spans="1:20" ht="54" x14ac:dyDescent="0.6">
      <c r="A37" s="21"/>
      <c r="B37" s="10" t="s">
        <v>52</v>
      </c>
      <c r="C37" s="2">
        <v>1323</v>
      </c>
      <c r="D37" s="2">
        <v>2911</v>
      </c>
      <c r="E37" s="2">
        <v>4160</v>
      </c>
      <c r="F37" s="2">
        <v>8370</v>
      </c>
      <c r="G37" s="3">
        <v>0</v>
      </c>
      <c r="H37" s="3">
        <v>0</v>
      </c>
      <c r="I37" s="2">
        <v>5483</v>
      </c>
      <c r="J37" s="2">
        <v>11281</v>
      </c>
      <c r="K37" s="3"/>
      <c r="L37" s="3"/>
      <c r="M37" s="3"/>
      <c r="N37" s="3"/>
      <c r="O37" s="3"/>
      <c r="P37" s="3"/>
      <c r="Q37" s="3"/>
      <c r="R37" s="3"/>
      <c r="S37" s="3"/>
      <c r="T37" s="6"/>
    </row>
    <row r="38" spans="1:20" ht="54" x14ac:dyDescent="0.6">
      <c r="A38" s="21"/>
      <c r="B38" s="10" t="s">
        <v>51</v>
      </c>
      <c r="C38" s="3">
        <v>15</v>
      </c>
      <c r="D38" s="3">
        <v>26</v>
      </c>
      <c r="E38" s="3">
        <v>498</v>
      </c>
      <c r="F38" s="3">
        <v>972</v>
      </c>
      <c r="G38" s="3">
        <v>0</v>
      </c>
      <c r="H38" s="3">
        <v>0</v>
      </c>
      <c r="I38" s="3">
        <v>513</v>
      </c>
      <c r="J38" s="3">
        <v>998</v>
      </c>
      <c r="K38" s="3"/>
      <c r="L38" s="3"/>
      <c r="M38" s="3"/>
      <c r="N38" s="3"/>
      <c r="O38" s="3"/>
      <c r="P38" s="3"/>
      <c r="Q38" s="3"/>
      <c r="R38" s="3"/>
      <c r="S38" s="3"/>
      <c r="T38" s="6"/>
    </row>
    <row r="39" spans="1:20" ht="94.5" x14ac:dyDescent="0.6">
      <c r="A39" s="21"/>
      <c r="B39" s="10" t="s">
        <v>54</v>
      </c>
      <c r="C39" s="2">
        <v>1129</v>
      </c>
      <c r="D39" s="3">
        <v>-329</v>
      </c>
      <c r="E39" s="2">
        <v>-47684</v>
      </c>
      <c r="F39" s="2">
        <v>-25561</v>
      </c>
      <c r="G39" s="3">
        <v>0</v>
      </c>
      <c r="H39" s="3">
        <v>0</v>
      </c>
      <c r="I39" s="2">
        <v>-46555</v>
      </c>
      <c r="J39" s="2">
        <v>-25890</v>
      </c>
      <c r="K39" s="3"/>
      <c r="L39" s="3"/>
      <c r="M39" s="3"/>
      <c r="N39" s="3"/>
      <c r="O39" s="3"/>
      <c r="P39" s="3"/>
      <c r="Q39" s="3"/>
      <c r="R39" s="3"/>
      <c r="S39" s="3"/>
      <c r="T39" s="6"/>
    </row>
    <row r="40" spans="1:20" ht="67.5" x14ac:dyDescent="0.6">
      <c r="A40" s="21"/>
      <c r="B40" s="10" t="s">
        <v>53</v>
      </c>
      <c r="C40" s="2">
        <v>-10961</v>
      </c>
      <c r="D40" s="2">
        <v>24638</v>
      </c>
      <c r="E40" s="2">
        <v>-24936</v>
      </c>
      <c r="F40" s="2">
        <v>-63934</v>
      </c>
      <c r="G40" s="3">
        <v>0</v>
      </c>
      <c r="H40" s="3">
        <v>0</v>
      </c>
      <c r="I40" s="2">
        <v>-35897</v>
      </c>
      <c r="J40" s="2">
        <v>-39296</v>
      </c>
      <c r="K40" s="3"/>
      <c r="L40" s="3"/>
      <c r="M40" s="3"/>
      <c r="N40" s="3"/>
      <c r="O40" s="3"/>
      <c r="P40" s="3"/>
      <c r="Q40" s="3"/>
      <c r="R40" s="3"/>
      <c r="S40" s="3"/>
      <c r="T40" s="6"/>
    </row>
    <row r="41" spans="1:20" ht="81" x14ac:dyDescent="0.6">
      <c r="A41" s="21"/>
      <c r="B41" s="10" t="s">
        <v>55</v>
      </c>
      <c r="C41" s="3">
        <v>33</v>
      </c>
      <c r="D41" s="3">
        <v>59</v>
      </c>
      <c r="E41" s="3">
        <v>69</v>
      </c>
      <c r="F41" s="3">
        <v>151</v>
      </c>
      <c r="G41" s="3">
        <v>0</v>
      </c>
      <c r="H41" s="3">
        <v>0</v>
      </c>
      <c r="I41" s="3">
        <v>102</v>
      </c>
      <c r="J41" s="3">
        <v>210</v>
      </c>
      <c r="K41" s="3"/>
      <c r="L41" s="3"/>
      <c r="M41" s="3"/>
      <c r="N41" s="3"/>
      <c r="O41" s="3"/>
      <c r="P41" s="3"/>
      <c r="Q41" s="3"/>
      <c r="R41" s="3"/>
      <c r="S41" s="3"/>
      <c r="T41" s="6"/>
    </row>
    <row r="42" spans="1:20" ht="54" x14ac:dyDescent="0.6">
      <c r="A42" s="21"/>
      <c r="B42" s="10" t="s">
        <v>76</v>
      </c>
      <c r="C42" s="3">
        <v>-543</v>
      </c>
      <c r="D42" s="2">
        <v>-1329</v>
      </c>
      <c r="E42" s="2">
        <v>-1657</v>
      </c>
      <c r="F42" s="2">
        <v>-3123</v>
      </c>
      <c r="G42" s="3">
        <v>0</v>
      </c>
      <c r="H42" s="3">
        <v>0</v>
      </c>
      <c r="I42" s="2">
        <v>-2200</v>
      </c>
      <c r="J42" s="2">
        <v>-4452</v>
      </c>
      <c r="K42" s="3"/>
      <c r="L42" s="3"/>
      <c r="M42" s="3"/>
      <c r="N42" s="3"/>
      <c r="O42" s="3"/>
      <c r="P42" s="3"/>
      <c r="Q42" s="3"/>
      <c r="R42" s="3"/>
      <c r="S42" s="3"/>
      <c r="T42" s="6"/>
    </row>
    <row r="43" spans="1:20" ht="27" customHeight="1" x14ac:dyDescent="0.6">
      <c r="A43" s="22"/>
      <c r="B43" s="37" t="s">
        <v>49</v>
      </c>
      <c r="C43" s="17">
        <v>1</v>
      </c>
      <c r="D43" s="17">
        <v>5</v>
      </c>
      <c r="E43" s="17">
        <v>209</v>
      </c>
      <c r="F43" s="5">
        <v>28699</v>
      </c>
      <c r="G43" s="17">
        <v>0</v>
      </c>
      <c r="H43" s="17">
        <v>0</v>
      </c>
      <c r="I43" s="17">
        <v>210</v>
      </c>
      <c r="J43" s="5">
        <v>28704</v>
      </c>
      <c r="K43" s="17"/>
      <c r="L43" s="17"/>
      <c r="M43" s="17"/>
      <c r="N43" s="17"/>
      <c r="O43" s="17"/>
      <c r="P43" s="17"/>
      <c r="Q43" s="17"/>
      <c r="R43" s="17"/>
      <c r="S43" s="17"/>
      <c r="T43" s="38"/>
    </row>
    <row r="44" spans="1:20" ht="27" customHeight="1" x14ac:dyDescent="0.6">
      <c r="A44" s="12"/>
    </row>
    <row r="45" spans="1:20" ht="27" customHeight="1" x14ac:dyDescent="0.6">
      <c r="A45" s="11" t="s">
        <v>77</v>
      </c>
    </row>
    <row r="46" spans="1:20" ht="40.5" customHeight="1" x14ac:dyDescent="0.6">
      <c r="A46" s="12"/>
    </row>
    <row r="47" spans="1:20" ht="54" customHeight="1" x14ac:dyDescent="0.6">
      <c r="A47" s="32" t="s">
        <v>62</v>
      </c>
      <c r="B47" s="32"/>
    </row>
    <row r="48" spans="1:20" ht="27" x14ac:dyDescent="0.6">
      <c r="A48" s="12" t="s">
        <v>26</v>
      </c>
      <c r="B48" s="13" t="s">
        <v>27</v>
      </c>
    </row>
    <row r="49" spans="1:20" x14ac:dyDescent="0.6">
      <c r="A49" s="8"/>
      <c r="B49" s="9"/>
      <c r="C49" s="33" t="s">
        <v>28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5"/>
    </row>
    <row r="50" spans="1:20" ht="40.5" customHeight="1" x14ac:dyDescent="0.6">
      <c r="A50" s="15"/>
      <c r="B50" s="14"/>
      <c r="C50" s="23" t="s">
        <v>57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36"/>
    </row>
    <row r="51" spans="1:20" ht="54" customHeight="1" x14ac:dyDescent="0.6">
      <c r="A51" s="15"/>
      <c r="B51" s="14"/>
      <c r="C51" s="23" t="s">
        <v>30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5"/>
      <c r="S51" s="26" t="s">
        <v>71</v>
      </c>
      <c r="T51" s="30"/>
    </row>
    <row r="52" spans="1:20" ht="27" customHeight="1" x14ac:dyDescent="0.6">
      <c r="A52" s="15"/>
      <c r="B52" s="14"/>
      <c r="C52" s="23" t="s">
        <v>31</v>
      </c>
      <c r="D52" s="24"/>
      <c r="E52" s="24"/>
      <c r="F52" s="24"/>
      <c r="G52" s="24"/>
      <c r="H52" s="24"/>
      <c r="I52" s="24"/>
      <c r="J52" s="25"/>
      <c r="K52" s="23" t="s">
        <v>32</v>
      </c>
      <c r="L52" s="24"/>
      <c r="M52" s="24"/>
      <c r="N52" s="24"/>
      <c r="O52" s="24"/>
      <c r="P52" s="24"/>
      <c r="Q52" s="24"/>
      <c r="R52" s="25"/>
      <c r="S52" s="39"/>
      <c r="T52" s="40"/>
    </row>
    <row r="53" spans="1:20" x14ac:dyDescent="0.6">
      <c r="A53" s="15"/>
      <c r="B53" s="14"/>
      <c r="C53" s="23" t="s">
        <v>33</v>
      </c>
      <c r="D53" s="24"/>
      <c r="E53" s="24"/>
      <c r="F53" s="24"/>
      <c r="G53" s="24"/>
      <c r="H53" s="25"/>
      <c r="I53" s="26" t="s">
        <v>34</v>
      </c>
      <c r="J53" s="27"/>
      <c r="K53" s="23" t="s">
        <v>33</v>
      </c>
      <c r="L53" s="24"/>
      <c r="M53" s="24"/>
      <c r="N53" s="24"/>
      <c r="O53" s="24"/>
      <c r="P53" s="25"/>
      <c r="Q53" s="26" t="s">
        <v>34</v>
      </c>
      <c r="R53" s="27"/>
      <c r="S53" s="39"/>
      <c r="T53" s="40"/>
    </row>
    <row r="54" spans="1:20" x14ac:dyDescent="0.6">
      <c r="A54" s="15"/>
      <c r="B54" s="14"/>
      <c r="C54" s="23" t="s">
        <v>35</v>
      </c>
      <c r="D54" s="25"/>
      <c r="E54" s="23" t="s">
        <v>72</v>
      </c>
      <c r="F54" s="25"/>
      <c r="G54" s="23" t="s">
        <v>36</v>
      </c>
      <c r="H54" s="25"/>
      <c r="I54" s="28"/>
      <c r="J54" s="29"/>
      <c r="K54" s="23" t="s">
        <v>35</v>
      </c>
      <c r="L54" s="25"/>
      <c r="M54" s="23" t="s">
        <v>72</v>
      </c>
      <c r="N54" s="25"/>
      <c r="O54" s="23" t="s">
        <v>36</v>
      </c>
      <c r="P54" s="25"/>
      <c r="Q54" s="28"/>
      <c r="R54" s="29"/>
      <c r="S54" s="28"/>
      <c r="T54" s="31"/>
    </row>
    <row r="55" spans="1:20" x14ac:dyDescent="0.6">
      <c r="A55" s="15"/>
      <c r="B55" s="14"/>
      <c r="C55" s="14" t="s">
        <v>37</v>
      </c>
      <c r="D55" s="14" t="s">
        <v>38</v>
      </c>
      <c r="E55" s="14" t="s">
        <v>37</v>
      </c>
      <c r="F55" s="14" t="s">
        <v>38</v>
      </c>
      <c r="G55" s="14" t="s">
        <v>37</v>
      </c>
      <c r="H55" s="14" t="s">
        <v>38</v>
      </c>
      <c r="I55" s="14" t="s">
        <v>37</v>
      </c>
      <c r="J55" s="14" t="s">
        <v>38</v>
      </c>
      <c r="K55" s="14" t="s">
        <v>37</v>
      </c>
      <c r="L55" s="14" t="s">
        <v>38</v>
      </c>
      <c r="M55" s="14" t="s">
        <v>37</v>
      </c>
      <c r="N55" s="14" t="s">
        <v>38</v>
      </c>
      <c r="O55" s="14" t="s">
        <v>37</v>
      </c>
      <c r="P55" s="14" t="s">
        <v>38</v>
      </c>
      <c r="Q55" s="14" t="s">
        <v>37</v>
      </c>
      <c r="R55" s="14" t="s">
        <v>38</v>
      </c>
      <c r="S55" s="14" t="s">
        <v>37</v>
      </c>
      <c r="T55" s="16" t="s">
        <v>38</v>
      </c>
    </row>
    <row r="56" spans="1:20" ht="40.5" customHeight="1" x14ac:dyDescent="0.6">
      <c r="A56" s="18" t="s">
        <v>78</v>
      </c>
      <c r="B56" s="19"/>
      <c r="C56" s="3">
        <v>50</v>
      </c>
      <c r="D56" s="2">
        <v>25415</v>
      </c>
      <c r="E56" s="2">
        <v>6784</v>
      </c>
      <c r="F56" s="2">
        <v>8691</v>
      </c>
      <c r="G56" s="3">
        <v>0</v>
      </c>
      <c r="H56" s="3">
        <v>0</v>
      </c>
      <c r="I56" s="2">
        <v>6834</v>
      </c>
      <c r="J56" s="2">
        <v>34106</v>
      </c>
      <c r="K56" s="3">
        <v>0</v>
      </c>
      <c r="L56" s="3">
        <v>0</v>
      </c>
      <c r="M56" s="3">
        <v>0</v>
      </c>
      <c r="N56" s="3">
        <v>0</v>
      </c>
      <c r="O56" s="2">
        <v>305639</v>
      </c>
      <c r="P56" s="2">
        <v>444678</v>
      </c>
      <c r="Q56" s="2">
        <v>305639</v>
      </c>
      <c r="R56" s="2">
        <v>444678</v>
      </c>
      <c r="S56" s="2">
        <v>312473</v>
      </c>
      <c r="T56" s="4">
        <v>478784</v>
      </c>
    </row>
    <row r="57" spans="1:20" ht="40.5" x14ac:dyDescent="0.6">
      <c r="A57" s="20" t="s">
        <v>78</v>
      </c>
      <c r="B57" s="10" t="s">
        <v>59</v>
      </c>
      <c r="C57" s="3">
        <v>0</v>
      </c>
      <c r="D57" s="3">
        <v>935</v>
      </c>
      <c r="E57" s="2">
        <v>9363</v>
      </c>
      <c r="F57" s="2">
        <v>21676</v>
      </c>
      <c r="G57" s="3">
        <v>0</v>
      </c>
      <c r="H57" s="3">
        <v>0</v>
      </c>
      <c r="I57" s="2">
        <v>9363</v>
      </c>
      <c r="J57" s="2">
        <v>22611</v>
      </c>
      <c r="K57" s="3"/>
      <c r="L57" s="3"/>
      <c r="M57" s="3"/>
      <c r="N57" s="3"/>
      <c r="O57" s="3"/>
      <c r="P57" s="3"/>
      <c r="Q57" s="3"/>
      <c r="R57" s="3"/>
      <c r="S57" s="3"/>
      <c r="T57" s="6"/>
    </row>
    <row r="58" spans="1:20" ht="81" x14ac:dyDescent="0.6">
      <c r="A58" s="21"/>
      <c r="B58" s="10" t="s">
        <v>61</v>
      </c>
      <c r="C58" s="3">
        <v>0</v>
      </c>
      <c r="D58" s="3">
        <v>0</v>
      </c>
      <c r="E58" s="3">
        <v>-575</v>
      </c>
      <c r="F58" s="3">
        <v>-357</v>
      </c>
      <c r="G58" s="3">
        <v>0</v>
      </c>
      <c r="H58" s="3">
        <v>0</v>
      </c>
      <c r="I58" s="3">
        <v>-575</v>
      </c>
      <c r="J58" s="3">
        <v>-357</v>
      </c>
      <c r="K58" s="3"/>
      <c r="L58" s="3"/>
      <c r="M58" s="3"/>
      <c r="N58" s="3"/>
      <c r="O58" s="3"/>
      <c r="P58" s="3"/>
      <c r="Q58" s="3"/>
      <c r="R58" s="3"/>
      <c r="S58" s="3"/>
      <c r="T58" s="6"/>
    </row>
    <row r="59" spans="1:20" ht="67.5" x14ac:dyDescent="0.6">
      <c r="A59" s="21"/>
      <c r="B59" s="10" t="s">
        <v>58</v>
      </c>
      <c r="C59" s="3">
        <v>99</v>
      </c>
      <c r="D59" s="2">
        <v>24070</v>
      </c>
      <c r="E59" s="2">
        <v>-1944</v>
      </c>
      <c r="F59" s="2">
        <v>-13170</v>
      </c>
      <c r="G59" s="3">
        <v>0</v>
      </c>
      <c r="H59" s="3">
        <v>0</v>
      </c>
      <c r="I59" s="2">
        <v>-1845</v>
      </c>
      <c r="J59" s="2">
        <v>10900</v>
      </c>
      <c r="K59" s="3"/>
      <c r="L59" s="3"/>
      <c r="M59" s="3"/>
      <c r="N59" s="3"/>
      <c r="O59" s="3"/>
      <c r="P59" s="3"/>
      <c r="Q59" s="3"/>
      <c r="R59" s="3"/>
      <c r="S59" s="3"/>
      <c r="T59" s="6"/>
    </row>
    <row r="60" spans="1:20" ht="54" x14ac:dyDescent="0.6">
      <c r="A60" s="21"/>
      <c r="B60" s="10" t="s">
        <v>79</v>
      </c>
      <c r="C60" s="3">
        <v>0</v>
      </c>
      <c r="D60" s="3">
        <v>0</v>
      </c>
      <c r="E60" s="3">
        <v>-14</v>
      </c>
      <c r="F60" s="3">
        <v>-25</v>
      </c>
      <c r="G60" s="3">
        <v>0</v>
      </c>
      <c r="H60" s="3">
        <v>0</v>
      </c>
      <c r="I60" s="3">
        <v>-14</v>
      </c>
      <c r="J60" s="3">
        <v>-25</v>
      </c>
      <c r="K60" s="3"/>
      <c r="L60" s="3"/>
      <c r="M60" s="3"/>
      <c r="N60" s="3"/>
      <c r="O60" s="3"/>
      <c r="P60" s="3"/>
      <c r="Q60" s="3"/>
      <c r="R60" s="3"/>
      <c r="S60" s="3"/>
      <c r="T60" s="6"/>
    </row>
    <row r="61" spans="1:20" ht="67.5" x14ac:dyDescent="0.6">
      <c r="A61" s="22"/>
      <c r="B61" s="37" t="s">
        <v>60</v>
      </c>
      <c r="C61" s="17">
        <v>-49</v>
      </c>
      <c r="D61" s="17">
        <v>410</v>
      </c>
      <c r="E61" s="17">
        <v>-46</v>
      </c>
      <c r="F61" s="17">
        <v>567</v>
      </c>
      <c r="G61" s="17">
        <v>0</v>
      </c>
      <c r="H61" s="17">
        <v>0</v>
      </c>
      <c r="I61" s="17">
        <v>-95</v>
      </c>
      <c r="J61" s="17">
        <v>977</v>
      </c>
      <c r="K61" s="17"/>
      <c r="L61" s="17"/>
      <c r="M61" s="17"/>
      <c r="N61" s="17"/>
      <c r="O61" s="17"/>
      <c r="P61" s="17"/>
      <c r="Q61" s="17"/>
      <c r="R61" s="17"/>
      <c r="S61" s="17"/>
      <c r="T61" s="38"/>
    </row>
    <row r="62" spans="1:20" x14ac:dyDescent="0.6">
      <c r="A62" s="12"/>
    </row>
    <row r="63" spans="1:20" ht="27" customHeight="1" x14ac:dyDescent="0.6">
      <c r="A63" s="32" t="s">
        <v>56</v>
      </c>
      <c r="B63" s="32"/>
    </row>
    <row r="64" spans="1:20" ht="27" x14ac:dyDescent="0.6">
      <c r="A64" s="12" t="s">
        <v>26</v>
      </c>
      <c r="B64" s="13" t="s">
        <v>27</v>
      </c>
    </row>
    <row r="65" spans="1:20" x14ac:dyDescent="0.6">
      <c r="A65" s="8"/>
      <c r="B65" s="9"/>
      <c r="C65" s="33" t="s">
        <v>28</v>
      </c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5"/>
    </row>
    <row r="66" spans="1:20" x14ac:dyDescent="0.6">
      <c r="A66" s="15"/>
      <c r="B66" s="14"/>
      <c r="C66" s="23" t="s">
        <v>57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36"/>
    </row>
    <row r="67" spans="1:20" x14ac:dyDescent="0.6">
      <c r="A67" s="15"/>
      <c r="B67" s="14"/>
      <c r="C67" s="23" t="s">
        <v>30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5"/>
      <c r="S67" s="26" t="s">
        <v>71</v>
      </c>
      <c r="T67" s="30"/>
    </row>
    <row r="68" spans="1:20" x14ac:dyDescent="0.6">
      <c r="A68" s="15"/>
      <c r="B68" s="14"/>
      <c r="C68" s="23" t="s">
        <v>31</v>
      </c>
      <c r="D68" s="24"/>
      <c r="E68" s="24"/>
      <c r="F68" s="24"/>
      <c r="G68" s="24"/>
      <c r="H68" s="24"/>
      <c r="I68" s="24"/>
      <c r="J68" s="25"/>
      <c r="K68" s="23" t="s">
        <v>32</v>
      </c>
      <c r="L68" s="24"/>
      <c r="M68" s="24"/>
      <c r="N68" s="24"/>
      <c r="O68" s="24"/>
      <c r="P68" s="24"/>
      <c r="Q68" s="24"/>
      <c r="R68" s="25"/>
      <c r="S68" s="39"/>
      <c r="T68" s="40"/>
    </row>
    <row r="69" spans="1:20" x14ac:dyDescent="0.6">
      <c r="A69" s="15"/>
      <c r="B69" s="14"/>
      <c r="C69" s="23" t="s">
        <v>33</v>
      </c>
      <c r="D69" s="24"/>
      <c r="E69" s="24"/>
      <c r="F69" s="24"/>
      <c r="G69" s="24"/>
      <c r="H69" s="25"/>
      <c r="I69" s="26" t="s">
        <v>34</v>
      </c>
      <c r="J69" s="27"/>
      <c r="K69" s="23" t="s">
        <v>33</v>
      </c>
      <c r="L69" s="24"/>
      <c r="M69" s="24"/>
      <c r="N69" s="24"/>
      <c r="O69" s="24"/>
      <c r="P69" s="25"/>
      <c r="Q69" s="26" t="s">
        <v>34</v>
      </c>
      <c r="R69" s="27"/>
      <c r="S69" s="39"/>
      <c r="T69" s="40"/>
    </row>
    <row r="70" spans="1:20" x14ac:dyDescent="0.6">
      <c r="A70" s="15"/>
      <c r="B70" s="14"/>
      <c r="C70" s="23" t="s">
        <v>35</v>
      </c>
      <c r="D70" s="25"/>
      <c r="E70" s="23" t="s">
        <v>72</v>
      </c>
      <c r="F70" s="25"/>
      <c r="G70" s="23" t="s">
        <v>36</v>
      </c>
      <c r="H70" s="25"/>
      <c r="I70" s="28"/>
      <c r="J70" s="29"/>
      <c r="K70" s="23" t="s">
        <v>35</v>
      </c>
      <c r="L70" s="25"/>
      <c r="M70" s="23" t="s">
        <v>72</v>
      </c>
      <c r="N70" s="25"/>
      <c r="O70" s="23" t="s">
        <v>36</v>
      </c>
      <c r="P70" s="25"/>
      <c r="Q70" s="28"/>
      <c r="R70" s="29"/>
      <c r="S70" s="28"/>
      <c r="T70" s="31"/>
    </row>
    <row r="71" spans="1:20" x14ac:dyDescent="0.6">
      <c r="A71" s="15"/>
      <c r="B71" s="14"/>
      <c r="C71" s="14" t="s">
        <v>37</v>
      </c>
      <c r="D71" s="14" t="s">
        <v>38</v>
      </c>
      <c r="E71" s="14" t="s">
        <v>37</v>
      </c>
      <c r="F71" s="14" t="s">
        <v>38</v>
      </c>
      <c r="G71" s="14" t="s">
        <v>37</v>
      </c>
      <c r="H71" s="14" t="s">
        <v>38</v>
      </c>
      <c r="I71" s="14" t="s">
        <v>37</v>
      </c>
      <c r="J71" s="14" t="s">
        <v>38</v>
      </c>
      <c r="K71" s="14" t="s">
        <v>37</v>
      </c>
      <c r="L71" s="14" t="s">
        <v>38</v>
      </c>
      <c r="M71" s="14" t="s">
        <v>37</v>
      </c>
      <c r="N71" s="14" t="s">
        <v>38</v>
      </c>
      <c r="O71" s="14" t="s">
        <v>37</v>
      </c>
      <c r="P71" s="14" t="s">
        <v>38</v>
      </c>
      <c r="Q71" s="14" t="s">
        <v>37</v>
      </c>
      <c r="R71" s="14" t="s">
        <v>38</v>
      </c>
      <c r="S71" s="14" t="s">
        <v>37</v>
      </c>
      <c r="T71" s="16" t="s">
        <v>38</v>
      </c>
    </row>
    <row r="72" spans="1:20" ht="40.5" customHeight="1" x14ac:dyDescent="0.6">
      <c r="A72" s="18" t="s">
        <v>80</v>
      </c>
      <c r="B72" s="19"/>
      <c r="C72" s="2">
        <v>3779</v>
      </c>
      <c r="D72" s="2">
        <v>7318</v>
      </c>
      <c r="E72" s="2">
        <v>7745</v>
      </c>
      <c r="F72" s="2">
        <v>9508</v>
      </c>
      <c r="G72" s="3">
        <v>0</v>
      </c>
      <c r="H72" s="3">
        <v>0</v>
      </c>
      <c r="I72" s="2">
        <v>11524</v>
      </c>
      <c r="J72" s="2">
        <v>16826</v>
      </c>
      <c r="K72" s="3">
        <v>0</v>
      </c>
      <c r="L72" s="3">
        <v>0</v>
      </c>
      <c r="M72" s="3">
        <v>0</v>
      </c>
      <c r="N72" s="3">
        <v>0</v>
      </c>
      <c r="O72" s="2">
        <v>314632</v>
      </c>
      <c r="P72" s="2">
        <v>603913</v>
      </c>
      <c r="Q72" s="2">
        <v>314632</v>
      </c>
      <c r="R72" s="2">
        <v>603913</v>
      </c>
      <c r="S72" s="2">
        <v>326156</v>
      </c>
      <c r="T72" s="4">
        <v>620739</v>
      </c>
    </row>
    <row r="73" spans="1:20" ht="81" x14ac:dyDescent="0.6">
      <c r="A73" s="20" t="s">
        <v>80</v>
      </c>
      <c r="B73" s="10" t="s">
        <v>64</v>
      </c>
      <c r="C73" s="3">
        <v>669</v>
      </c>
      <c r="D73" s="2">
        <v>1332</v>
      </c>
      <c r="E73" s="2">
        <v>3234</v>
      </c>
      <c r="F73" s="2">
        <v>8068</v>
      </c>
      <c r="G73" s="3">
        <v>0</v>
      </c>
      <c r="H73" s="3">
        <v>0</v>
      </c>
      <c r="I73" s="2">
        <v>3903</v>
      </c>
      <c r="J73" s="2">
        <v>9400</v>
      </c>
      <c r="K73" s="3"/>
      <c r="L73" s="3"/>
      <c r="M73" s="3"/>
      <c r="N73" s="3"/>
      <c r="O73" s="3"/>
      <c r="P73" s="3"/>
      <c r="Q73" s="3"/>
      <c r="R73" s="3"/>
      <c r="S73" s="3"/>
      <c r="T73" s="6"/>
    </row>
    <row r="74" spans="1:20" ht="108" x14ac:dyDescent="0.6">
      <c r="A74" s="21"/>
      <c r="B74" s="10" t="s">
        <v>63</v>
      </c>
      <c r="C74" s="3">
        <v>0</v>
      </c>
      <c r="D74" s="3">
        <v>0</v>
      </c>
      <c r="E74" s="3">
        <v>0</v>
      </c>
      <c r="F74" s="3">
        <v>8</v>
      </c>
      <c r="G74" s="3">
        <v>0</v>
      </c>
      <c r="H74" s="3">
        <v>0</v>
      </c>
      <c r="I74" s="3">
        <v>0</v>
      </c>
      <c r="J74" s="3">
        <v>8</v>
      </c>
      <c r="K74" s="3"/>
      <c r="L74" s="3"/>
      <c r="M74" s="3"/>
      <c r="N74" s="3"/>
      <c r="O74" s="3"/>
      <c r="P74" s="3"/>
      <c r="Q74" s="3"/>
      <c r="R74" s="3"/>
      <c r="S74" s="3"/>
      <c r="T74" s="6"/>
    </row>
    <row r="75" spans="1:20" ht="81" x14ac:dyDescent="0.6">
      <c r="A75" s="21"/>
      <c r="B75" s="10" t="s">
        <v>65</v>
      </c>
      <c r="C75" s="3">
        <v>39</v>
      </c>
      <c r="D75" s="3">
        <v>88</v>
      </c>
      <c r="E75" s="3">
        <v>157</v>
      </c>
      <c r="F75" s="3">
        <v>350</v>
      </c>
      <c r="G75" s="3">
        <v>0</v>
      </c>
      <c r="H75" s="3">
        <v>0</v>
      </c>
      <c r="I75" s="3">
        <v>196</v>
      </c>
      <c r="J75" s="3">
        <v>438</v>
      </c>
      <c r="K75" s="3"/>
      <c r="L75" s="3"/>
      <c r="M75" s="3"/>
      <c r="N75" s="3"/>
      <c r="O75" s="3"/>
      <c r="P75" s="3"/>
      <c r="Q75" s="3"/>
      <c r="R75" s="3"/>
      <c r="S75" s="3"/>
      <c r="T75" s="6"/>
    </row>
    <row r="76" spans="1:20" ht="94.5" x14ac:dyDescent="0.6">
      <c r="A76" s="21"/>
      <c r="B76" s="10" t="s">
        <v>66</v>
      </c>
      <c r="C76" s="2">
        <v>1890</v>
      </c>
      <c r="D76" s="2">
        <v>3653</v>
      </c>
      <c r="E76" s="2">
        <v>-2553</v>
      </c>
      <c r="F76" s="2">
        <v>-5502</v>
      </c>
      <c r="G76" s="3">
        <v>0</v>
      </c>
      <c r="H76" s="3">
        <v>0</v>
      </c>
      <c r="I76" s="3">
        <v>-663</v>
      </c>
      <c r="J76" s="2">
        <v>-1849</v>
      </c>
      <c r="K76" s="3"/>
      <c r="L76" s="3"/>
      <c r="M76" s="3"/>
      <c r="N76" s="3"/>
      <c r="O76" s="3"/>
      <c r="P76" s="3"/>
      <c r="Q76" s="3"/>
      <c r="R76" s="3"/>
      <c r="S76" s="3"/>
      <c r="T76" s="6"/>
    </row>
    <row r="77" spans="1:20" ht="54" x14ac:dyDescent="0.6">
      <c r="A77" s="21"/>
      <c r="B77" s="10" t="s">
        <v>81</v>
      </c>
      <c r="C77" s="3">
        <v>0</v>
      </c>
      <c r="D77" s="3">
        <v>0</v>
      </c>
      <c r="E77" s="3">
        <v>-14</v>
      </c>
      <c r="F77" s="3">
        <v>-25</v>
      </c>
      <c r="G77" s="3">
        <v>0</v>
      </c>
      <c r="H77" s="3">
        <v>0</v>
      </c>
      <c r="I77" s="3">
        <v>-14</v>
      </c>
      <c r="J77" s="3">
        <v>-25</v>
      </c>
      <c r="K77" s="3"/>
      <c r="L77" s="3"/>
      <c r="M77" s="3"/>
      <c r="N77" s="3"/>
      <c r="O77" s="3"/>
      <c r="P77" s="3"/>
      <c r="Q77" s="3"/>
      <c r="R77" s="3"/>
      <c r="S77" s="3"/>
      <c r="T77" s="6"/>
    </row>
    <row r="78" spans="1:20" ht="40.5" x14ac:dyDescent="0.6">
      <c r="A78" s="22"/>
      <c r="B78" s="37" t="s">
        <v>67</v>
      </c>
      <c r="C78" s="5">
        <v>1181</v>
      </c>
      <c r="D78" s="5">
        <v>2245</v>
      </c>
      <c r="E78" s="5">
        <v>6921</v>
      </c>
      <c r="F78" s="5">
        <v>6609</v>
      </c>
      <c r="G78" s="17">
        <v>0</v>
      </c>
      <c r="H78" s="17">
        <v>0</v>
      </c>
      <c r="I78" s="5">
        <v>8102</v>
      </c>
      <c r="J78" s="5">
        <v>8854</v>
      </c>
      <c r="K78" s="17"/>
      <c r="L78" s="17"/>
      <c r="M78" s="17"/>
      <c r="N78" s="17"/>
      <c r="O78" s="17"/>
      <c r="P78" s="17"/>
      <c r="Q78" s="17"/>
      <c r="R78" s="17"/>
      <c r="S78" s="17"/>
      <c r="T78" s="38"/>
    </row>
    <row r="79" spans="1:20" x14ac:dyDescent="0.6">
      <c r="A79" s="12"/>
    </row>
    <row r="80" spans="1:20" x14ac:dyDescent="0.6">
      <c r="A80" s="12"/>
    </row>
  </sheetData>
  <mergeCells count="76">
    <mergeCell ref="A63:B63"/>
    <mergeCell ref="C65:T65"/>
    <mergeCell ref="C66:T66"/>
    <mergeCell ref="C67:R67"/>
    <mergeCell ref="S67:T70"/>
    <mergeCell ref="C68:J68"/>
    <mergeCell ref="K68:R68"/>
    <mergeCell ref="C69:H69"/>
    <mergeCell ref="I69:J70"/>
    <mergeCell ref="K69:P69"/>
    <mergeCell ref="Q69:R70"/>
    <mergeCell ref="E70:F70"/>
    <mergeCell ref="G70:H70"/>
    <mergeCell ref="K70:L70"/>
    <mergeCell ref="M70:N70"/>
    <mergeCell ref="O70:P70"/>
    <mergeCell ref="A47:B47"/>
    <mergeCell ref="C49:T49"/>
    <mergeCell ref="C50:T50"/>
    <mergeCell ref="C51:R51"/>
    <mergeCell ref="S51:T54"/>
    <mergeCell ref="C52:J52"/>
    <mergeCell ref="K52:R52"/>
    <mergeCell ref="C53:H53"/>
    <mergeCell ref="I53:J54"/>
    <mergeCell ref="K53:P53"/>
    <mergeCell ref="Q53:R54"/>
    <mergeCell ref="C54:D54"/>
    <mergeCell ref="E54:F54"/>
    <mergeCell ref="G54:H54"/>
    <mergeCell ref="K54:L54"/>
    <mergeCell ref="M54:N54"/>
    <mergeCell ref="O54:P54"/>
    <mergeCell ref="A56:B56"/>
    <mergeCell ref="A57:A61"/>
    <mergeCell ref="A34:B34"/>
    <mergeCell ref="A35:A43"/>
    <mergeCell ref="A25:B25"/>
    <mergeCell ref="C27:T27"/>
    <mergeCell ref="C28:T28"/>
    <mergeCell ref="C29:R29"/>
    <mergeCell ref="S29:T32"/>
    <mergeCell ref="C30:J30"/>
    <mergeCell ref="K30:R30"/>
    <mergeCell ref="C31:H31"/>
    <mergeCell ref="I31:J32"/>
    <mergeCell ref="K31:P31"/>
    <mergeCell ref="Q31:R32"/>
    <mergeCell ref="C32:D32"/>
    <mergeCell ref="E32:F32"/>
    <mergeCell ref="G32:H32"/>
    <mergeCell ref="K32:L32"/>
    <mergeCell ref="M32:N32"/>
    <mergeCell ref="O32:P32"/>
    <mergeCell ref="A14:B14"/>
    <mergeCell ref="A15:A23"/>
    <mergeCell ref="A5:B5"/>
    <mergeCell ref="C7:T7"/>
    <mergeCell ref="C8:T8"/>
    <mergeCell ref="C9:R9"/>
    <mergeCell ref="S9:T12"/>
    <mergeCell ref="C10:J10"/>
    <mergeCell ref="K10:R10"/>
    <mergeCell ref="C11:H11"/>
    <mergeCell ref="I11:J12"/>
    <mergeCell ref="K11:P11"/>
    <mergeCell ref="Q11:R12"/>
    <mergeCell ref="C12:D12"/>
    <mergeCell ref="E12:F12"/>
    <mergeCell ref="G12:H12"/>
    <mergeCell ref="K12:L12"/>
    <mergeCell ref="M12:N12"/>
    <mergeCell ref="O12:P12"/>
    <mergeCell ref="C70:D70"/>
    <mergeCell ref="A72:B72"/>
    <mergeCell ref="A73:A7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보험손익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2026-06-06T07:36:24Z</dcterms:modified>
</cp:coreProperties>
</file>