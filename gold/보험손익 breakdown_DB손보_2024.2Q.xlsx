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gold\"/>
    </mc:Choice>
  </mc:AlternateContent>
  <xr:revisionPtr revIDLastSave="0" documentId="13_ncr:1_{FA08418D-C32B-4C22-8BCB-01DC53972ED4}" xr6:coauthVersionLast="47" xr6:coauthVersionMax="47" xr10:uidLastSave="{00000000-0000-0000-0000-000000000000}"/>
  <bookViews>
    <workbookView xWindow="-98" yWindow="-98" windowWidth="21795" windowHeight="12975" xr2:uid="{B186C083-72FA-4707-BBE5-A56EC0A2D05F}"/>
  </bookViews>
  <sheets>
    <sheet name="Sheet1" sheetId="4" r:id="rId1"/>
    <sheet name="보험손익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4" l="1"/>
  <c r="H17" i="4"/>
  <c r="H15" i="4"/>
  <c r="H14" i="4"/>
  <c r="H12" i="4"/>
  <c r="H11" i="4"/>
  <c r="H10" i="4"/>
  <c r="H9" i="4"/>
  <c r="H7" i="4"/>
  <c r="H6" i="4"/>
  <c r="H5" i="4"/>
  <c r="H4" i="4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H13" i="4" l="1"/>
  <c r="H3" i="4"/>
  <c r="H2" i="4" s="1"/>
  <c r="H8" i="4"/>
  <c r="E3" i="4"/>
  <c r="E4" i="4" s="1"/>
  <c r="E5" i="4" s="1"/>
  <c r="E6" i="4" s="1"/>
  <c r="E7" i="4" s="1"/>
</calcChain>
</file>

<file path=xl/sharedStrings.xml><?xml version="1.0" encoding="utf-8"?>
<sst xmlns="http://schemas.openxmlformats.org/spreadsheetml/2006/main" count="374" uniqueCount="89">
  <si>
    <t>공시분기</t>
  </si>
  <si>
    <t>영업이익</t>
  </si>
  <si>
    <t>당기순이익</t>
  </si>
  <si>
    <t>손해보험</t>
  </si>
  <si>
    <t>법인세</t>
  </si>
  <si>
    <t>세전이익</t>
  </si>
  <si>
    <t>영업외손익</t>
  </si>
  <si>
    <t>기타사업비용</t>
    <phoneticPr fontId="2" type="noConversion"/>
  </si>
  <si>
    <t>기타영업수익</t>
    <phoneticPr fontId="2" type="noConversion"/>
  </si>
  <si>
    <t>보험금융손익</t>
  </si>
  <si>
    <t>투자이익</t>
  </si>
  <si>
    <t>투자손익</t>
    <phoneticPr fontId="2" type="noConversion"/>
  </si>
  <si>
    <t>일반손익</t>
  </si>
  <si>
    <t>자동차손익</t>
  </si>
  <si>
    <t>보험손익</t>
    <phoneticPr fontId="2" type="noConversion"/>
  </si>
  <si>
    <t>값</t>
  </si>
  <si>
    <t>항목명</t>
  </si>
  <si>
    <t>항목번호</t>
  </si>
  <si>
    <t>생손보여부</t>
  </si>
  <si>
    <t>티커</t>
  </si>
  <si>
    <t>원수사명</t>
  </si>
  <si>
    <t>원보험사코드</t>
  </si>
  <si>
    <t>검증</t>
    <phoneticPr fontId="2" type="noConversion"/>
  </si>
  <si>
    <t>생명장기 손익</t>
    <phoneticPr fontId="2" type="noConversion"/>
  </si>
  <si>
    <t>생명장기 원수손익</t>
    <phoneticPr fontId="2" type="noConversion"/>
  </si>
  <si>
    <t>생명장기 재보험손익</t>
    <phoneticPr fontId="2" type="noConversion"/>
  </si>
  <si>
    <t>손해보험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</si>
  <si>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</si>
  <si>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</si>
  <si>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</si>
  <si>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</si>
  <si>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</si>
  <si>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</si>
  <si>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</si>
  <si>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</si>
  <si>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보험취득현금흐름상각</t>
  </si>
  <si>
    <t>손실부담계약의 손실인식(환입)</t>
  </si>
  <si>
    <t>발생사고부채 조정</t>
  </si>
  <si>
    <t>손실회수요소 인식(환입)</t>
  </si>
  <si>
    <t>발생사고자산 조정</t>
  </si>
  <si>
    <t>KR0011</t>
    <phoneticPr fontId="2" type="noConversion"/>
  </si>
  <si>
    <t>DB손보</t>
    <phoneticPr fontId="2" type="noConversion"/>
  </si>
  <si>
    <t>2024.4Q</t>
    <phoneticPr fontId="2" type="noConversion"/>
  </si>
  <si>
    <t>(단위: 백만원)</t>
  </si>
  <si>
    <t>구  분</t>
  </si>
  <si>
    <t>장  기</t>
  </si>
  <si>
    <t>일  반</t>
  </si>
  <si>
    <t>자동차</t>
  </si>
  <si>
    <t>합  계</t>
  </si>
  <si>
    <t>&lt;원수&gt;</t>
  </si>
  <si>
    <t>예상보험금</t>
  </si>
  <si>
    <t>예상유지비</t>
  </si>
  <si>
    <t>예상손해조사비</t>
  </si>
  <si>
    <t>예상투자관리비</t>
  </si>
  <si>
    <t>비금융위험에 대한 위험조정상각</t>
  </si>
  <si>
    <t>보험계약마진상각</t>
  </si>
  <si>
    <t>손실요소배분</t>
  </si>
  <si>
    <t>보험료배분접근법적용계약 발생수익</t>
  </si>
  <si>
    <t>소  계</t>
  </si>
  <si>
    <t>&lt;수재&gt;</t>
  </si>
  <si>
    <t>발생보험금</t>
  </si>
  <si>
    <t>보험취득현금흐름비용</t>
  </si>
  <si>
    <t>발생직접유지비</t>
  </si>
  <si>
    <t>손해조사비</t>
  </si>
  <si>
    <t>투자관리비</t>
  </si>
  <si>
    <t>발생수재보험금</t>
  </si>
  <si>
    <t>수재손해조사비</t>
  </si>
  <si>
    <t>수재이익수수료</t>
  </si>
  <si>
    <t>수재유지비</t>
  </si>
  <si>
    <t>출재손해조사비</t>
  </si>
  <si>
    <t>기타재보험수익</t>
  </si>
  <si>
    <t>예상출재손해조사비</t>
  </si>
  <si>
    <t>손실회수요소배분</t>
  </si>
  <si>
    <t>보험료배분접근법적용계약 발생비용</t>
  </si>
  <si>
    <t>기타재보험비용</t>
  </si>
  <si>
    <t>-</t>
  </si>
  <si>
    <t>6. 보험수익 및 비용과 재보험수익 및 비용</t>
  </si>
  <si>
    <t>6-1 당반기 및 전반기 중 발행한 보험계약의 보험수익은 다음과 같습니다.</t>
  </si>
  <si>
    <t>&lt;당반기&gt;</t>
  </si>
  <si>
    <t>3개월</t>
  </si>
  <si>
    <t>누적</t>
  </si>
  <si>
    <t>6-2 당반기 및 전반기의 발행한 보험계약의 보험비용은 다음과 같습니다.</t>
  </si>
  <si>
    <t>신계약비 경험조정</t>
  </si>
  <si>
    <t>6-3 당반기 및 전반기의 보유한 재보험계약의 재보험수익은 다음과 같습니다.</t>
  </si>
  <si>
    <t>발생출재보험금</t>
  </si>
  <si>
    <t>출재이익수수료</t>
  </si>
  <si>
    <t>6-4 당반기 및 전반기의 보유한 재보험계약의 재보험비용은 다음과 같습니다.</t>
  </si>
  <si>
    <t>예상출재보험금</t>
  </si>
  <si>
    <t>예상출재이익수수료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</si>
</sst>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6"/>
      <color rgb="FF000000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0" xfId="0" applyAlignment="1"/>
    <xf numFmtId="0" fontId="0" fillId="0" borderId="0" xfId="0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264-0ADE-4580-BFCD-469F1D8FFBA3}">
  <dimension ref="A1:L25"/>
  <sheetViews>
    <sheetView tabSelected="1" workbookViewId="0"/>
  </sheetViews>
  <sheetFormatPr defaultRowHeight="16.899999999999999" x14ac:dyDescent="0.6"/>
  <cols>
    <col min="5" max="5" width="9.1875" bestFit="1" customWidth="1"/>
    <col min="6" max="6" width="20.875" bestFit="1" customWidth="1"/>
    <col min="8" max="8" width="16.625" bestFit="1" customWidth="1"/>
  </cols>
  <sheetData>
    <row r="1" spans="1:12" x14ac:dyDescent="0.6">
      <c r="A1" s="8" t="s">
        <v>21</v>
      </c>
      <c r="B1" s="8" t="s">
        <v>20</v>
      </c>
      <c r="C1" s="8" t="s">
        <v>19</v>
      </c>
      <c r="D1" s="8" t="s">
        <v>18</v>
      </c>
      <c r="E1" s="8" t="s">
        <v>17</v>
      </c>
      <c r="F1" s="8" t="s">
        <v>16</v>
      </c>
      <c r="G1" s="8" t="s">
        <v>0</v>
      </c>
      <c r="H1" s="8" t="s">
        <v>15</v>
      </c>
      <c r="I1" s="8" t="s">
        <v>22</v>
      </c>
    </row>
    <row r="2" spans="1:12" x14ac:dyDescent="0.6">
      <c r="A2" s="8" t="s">
        <v>40</v>
      </c>
      <c r="B2" s="8" t="s">
        <v>41</v>
      </c>
      <c r="C2" s="8"/>
      <c r="D2" s="8" t="s">
        <v>3</v>
      </c>
      <c r="E2" s="8">
        <v>1</v>
      </c>
      <c r="F2" t="s">
        <v>14</v>
      </c>
      <c r="G2" s="8" t="s">
        <v>42</v>
      </c>
      <c r="H2" s="1">
        <f>H3+H14+H15+H16-H17</f>
        <v>1097299.5757790001</v>
      </c>
      <c r="I2" s="1" t="b">
        <f>ABS(ROUND(H2,0)-1097299.131966
)&lt;2</f>
        <v>1</v>
      </c>
      <c r="L2" s="1"/>
    </row>
    <row r="3" spans="1:12" x14ac:dyDescent="0.6">
      <c r="A3" s="8" t="s">
        <v>40</v>
      </c>
      <c r="B3" s="8" t="s">
        <v>41</v>
      </c>
      <c r="C3" s="8"/>
      <c r="D3" s="8" t="s">
        <v>3</v>
      </c>
      <c r="E3">
        <f t="shared" ref="E3" si="0">E2+1</f>
        <v>2</v>
      </c>
      <c r="F3" t="s">
        <v>23</v>
      </c>
      <c r="G3" t="s">
        <v>42</v>
      </c>
      <c r="H3" s="1">
        <f>H4+H9</f>
        <v>876668</v>
      </c>
    </row>
    <row r="4" spans="1:12" x14ac:dyDescent="0.6">
      <c r="A4" s="8" t="s">
        <v>40</v>
      </c>
      <c r="B4" s="8" t="s">
        <v>41</v>
      </c>
      <c r="C4" s="8"/>
      <c r="D4" s="8" t="s">
        <v>3</v>
      </c>
      <c r="E4">
        <f t="shared" ref="E4:E7" si="1">E3+1</f>
        <v>3</v>
      </c>
      <c r="F4" t="s">
        <v>24</v>
      </c>
      <c r="G4" t="s">
        <v>42</v>
      </c>
      <c r="H4" s="1">
        <f>보험손익!C20-보험손익!C46</f>
        <v>951806</v>
      </c>
    </row>
    <row r="5" spans="1:12" x14ac:dyDescent="0.6">
      <c r="A5" s="8" t="s">
        <v>40</v>
      </c>
      <c r="B5" s="8" t="s">
        <v>41</v>
      </c>
      <c r="C5" s="8"/>
      <c r="D5" s="8" t="s">
        <v>3</v>
      </c>
      <c r="E5">
        <f t="shared" si="1"/>
        <v>4</v>
      </c>
      <c r="F5" t="s">
        <v>27</v>
      </c>
      <c r="G5" t="s">
        <v>42</v>
      </c>
      <c r="H5" s="1">
        <f>보험손익!C14</f>
        <v>653946</v>
      </c>
      <c r="K5" s="1"/>
    </row>
    <row r="6" spans="1:12" x14ac:dyDescent="0.6">
      <c r="A6" s="8" t="s">
        <v>40</v>
      </c>
      <c r="B6" s="8" t="s">
        <v>41</v>
      </c>
      <c r="C6" s="8"/>
      <c r="D6" s="8" t="s">
        <v>3</v>
      </c>
      <c r="E6">
        <f t="shared" si="1"/>
        <v>5</v>
      </c>
      <c r="F6" t="s">
        <v>28</v>
      </c>
      <c r="G6" t="s">
        <v>42</v>
      </c>
      <c r="H6" s="1">
        <f>보험손익!C13</f>
        <v>57614</v>
      </c>
      <c r="K6" s="1"/>
    </row>
    <row r="7" spans="1:12" x14ac:dyDescent="0.6">
      <c r="A7" s="8" t="s">
        <v>40</v>
      </c>
      <c r="B7" s="8" t="s">
        <v>41</v>
      </c>
      <c r="C7" s="8"/>
      <c r="D7" s="8" t="s">
        <v>3</v>
      </c>
      <c r="E7">
        <f t="shared" si="1"/>
        <v>6</v>
      </c>
      <c r="F7" t="s">
        <v>29</v>
      </c>
      <c r="G7" t="s">
        <v>42</v>
      </c>
      <c r="H7" s="1">
        <f>보험손익!C8+보험손익!C10+보험손익!C11+보험손익!C12-보험손익!C27-보험손익!C30-보험손익!C31-보험손익!C32</f>
        <v>44183</v>
      </c>
      <c r="K7" s="1"/>
    </row>
    <row r="8" spans="1:12" x14ac:dyDescent="0.6">
      <c r="A8" s="8" t="s">
        <v>40</v>
      </c>
      <c r="B8" s="8" t="s">
        <v>41</v>
      </c>
      <c r="C8" s="8"/>
      <c r="D8" s="8" t="s">
        <v>26</v>
      </c>
      <c r="E8">
        <f t="shared" ref="E8:E25" si="2">E7+1</f>
        <v>7</v>
      </c>
      <c r="F8" t="s">
        <v>30</v>
      </c>
      <c r="G8" t="s">
        <v>42</v>
      </c>
      <c r="H8" s="1">
        <f>H4-SUM(H5:H7)</f>
        <v>196063</v>
      </c>
      <c r="K8" s="1"/>
    </row>
    <row r="9" spans="1:12" x14ac:dyDescent="0.6">
      <c r="A9" s="8" t="s">
        <v>40</v>
      </c>
      <c r="B9" s="8" t="s">
        <v>41</v>
      </c>
      <c r="C9" s="8"/>
      <c r="D9" s="8" t="s">
        <v>26</v>
      </c>
      <c r="E9">
        <f t="shared" si="2"/>
        <v>8</v>
      </c>
      <c r="F9" t="s">
        <v>25</v>
      </c>
      <c r="G9" t="s">
        <v>42</v>
      </c>
      <c r="H9" s="1">
        <f>보험손익!C59-보험손익!C73</f>
        <v>-75138</v>
      </c>
      <c r="K9" s="1"/>
    </row>
    <row r="10" spans="1:12" x14ac:dyDescent="0.6">
      <c r="A10" s="8" t="s">
        <v>40</v>
      </c>
      <c r="B10" s="8" t="s">
        <v>41</v>
      </c>
      <c r="C10" s="8"/>
      <c r="D10" s="8" t="s">
        <v>26</v>
      </c>
      <c r="E10">
        <f t="shared" si="2"/>
        <v>9</v>
      </c>
      <c r="F10" t="s">
        <v>31</v>
      </c>
      <c r="G10" t="s">
        <v>42</v>
      </c>
      <c r="H10" s="1">
        <f>-보험손익!C69</f>
        <v>9313</v>
      </c>
      <c r="K10" s="1"/>
    </row>
    <row r="11" spans="1:12" x14ac:dyDescent="0.6">
      <c r="A11" s="8" t="s">
        <v>40</v>
      </c>
      <c r="B11" s="8" t="s">
        <v>41</v>
      </c>
      <c r="C11" s="8"/>
      <c r="D11" s="8" t="s">
        <v>26</v>
      </c>
      <c r="E11">
        <f t="shared" si="2"/>
        <v>10</v>
      </c>
      <c r="F11" t="s">
        <v>32</v>
      </c>
      <c r="G11" t="s">
        <v>42</v>
      </c>
      <c r="H11" s="1">
        <f>-보험손익!C68</f>
        <v>-1902</v>
      </c>
      <c r="K11" s="1"/>
    </row>
    <row r="12" spans="1:12" x14ac:dyDescent="0.6">
      <c r="A12" s="8" t="s">
        <v>40</v>
      </c>
      <c r="B12" s="8" t="s">
        <v>41</v>
      </c>
      <c r="C12" s="8"/>
      <c r="D12" s="8" t="s">
        <v>26</v>
      </c>
      <c r="E12">
        <f t="shared" si="2"/>
        <v>11</v>
      </c>
      <c r="F12" t="s">
        <v>33</v>
      </c>
      <c r="G12" t="s">
        <v>42</v>
      </c>
      <c r="H12" s="1">
        <f>-(보험손익!C65+보험손익!C66+보험손익!C67-보험손익!C52-보험손익!C53-보험손익!C54)</f>
        <v>-30208</v>
      </c>
      <c r="K12" s="1"/>
    </row>
    <row r="13" spans="1:12" x14ac:dyDescent="0.6">
      <c r="A13" s="8" t="s">
        <v>40</v>
      </c>
      <c r="B13" s="8" t="s">
        <v>41</v>
      </c>
      <c r="C13" s="8"/>
      <c r="D13" s="8" t="s">
        <v>26</v>
      </c>
      <c r="E13">
        <f t="shared" si="2"/>
        <v>12</v>
      </c>
      <c r="F13" t="s">
        <v>34</v>
      </c>
      <c r="G13" t="s">
        <v>42</v>
      </c>
      <c r="H13" s="1">
        <f>H9-SUM(H10:H12)</f>
        <v>-52341</v>
      </c>
      <c r="K13" s="1"/>
    </row>
    <row r="14" spans="1:12" x14ac:dyDescent="0.6">
      <c r="A14" s="8" t="s">
        <v>40</v>
      </c>
      <c r="B14" s="8" t="s">
        <v>41</v>
      </c>
      <c r="C14" s="8"/>
      <c r="D14" s="8" t="s">
        <v>26</v>
      </c>
      <c r="E14">
        <f t="shared" si="2"/>
        <v>13</v>
      </c>
      <c r="F14" t="s">
        <v>13</v>
      </c>
      <c r="G14" t="s">
        <v>42</v>
      </c>
      <c r="H14" s="1">
        <f>보험손익!G20-보험손익!G46+보험손익!G59-보험손익!G73</f>
        <v>172089</v>
      </c>
    </row>
    <row r="15" spans="1:12" x14ac:dyDescent="0.6">
      <c r="A15" s="8" t="s">
        <v>40</v>
      </c>
      <c r="B15" s="8" t="s">
        <v>41</v>
      </c>
      <c r="C15" s="8"/>
      <c r="D15" s="8" t="s">
        <v>3</v>
      </c>
      <c r="E15">
        <f t="shared" si="2"/>
        <v>14</v>
      </c>
      <c r="F15" t="s">
        <v>12</v>
      </c>
      <c r="G15" t="s">
        <v>42</v>
      </c>
      <c r="H15" s="1">
        <f>보험손익!E20-보험손익!E46+보험손익!E59-보험손익!E73</f>
        <v>100374</v>
      </c>
      <c r="I15" s="1"/>
    </row>
    <row r="16" spans="1:12" x14ac:dyDescent="0.6">
      <c r="A16" s="8" t="s">
        <v>40</v>
      </c>
      <c r="B16" s="8" t="s">
        <v>41</v>
      </c>
      <c r="C16" s="8"/>
      <c r="D16" s="8" t="s">
        <v>3</v>
      </c>
      <c r="E16">
        <f t="shared" si="2"/>
        <v>15</v>
      </c>
      <c r="F16" t="s">
        <v>8</v>
      </c>
      <c r="G16" t="s">
        <v>42</v>
      </c>
      <c r="H16" s="1"/>
    </row>
    <row r="17" spans="1:9" x14ac:dyDescent="0.6">
      <c r="A17" s="8" t="s">
        <v>40</v>
      </c>
      <c r="B17" s="8" t="s">
        <v>41</v>
      </c>
      <c r="C17" s="8"/>
      <c r="D17" s="8" t="s">
        <v>3</v>
      </c>
      <c r="E17">
        <f t="shared" si="2"/>
        <v>16</v>
      </c>
      <c r="F17" t="s">
        <v>7</v>
      </c>
      <c r="G17" t="s">
        <v>42</v>
      </c>
      <c r="H17" s="1">
        <f>51831424221/1000000</f>
        <v>51831.424221000001</v>
      </c>
    </row>
    <row r="18" spans="1:9" x14ac:dyDescent="0.6">
      <c r="A18" s="8" t="s">
        <v>40</v>
      </c>
      <c r="B18" s="8" t="s">
        <v>41</v>
      </c>
      <c r="C18" s="8"/>
      <c r="D18" s="8" t="s">
        <v>3</v>
      </c>
      <c r="E18">
        <f t="shared" si="2"/>
        <v>17</v>
      </c>
      <c r="F18" t="s">
        <v>11</v>
      </c>
      <c r="G18" t="s">
        <v>42</v>
      </c>
      <c r="H18" s="1"/>
    </row>
    <row r="19" spans="1:9" x14ac:dyDescent="0.6">
      <c r="A19" s="8" t="s">
        <v>40</v>
      </c>
      <c r="B19" s="8" t="s">
        <v>41</v>
      </c>
      <c r="C19" s="8"/>
      <c r="D19" s="8" t="s">
        <v>3</v>
      </c>
      <c r="E19">
        <f t="shared" si="2"/>
        <v>18</v>
      </c>
      <c r="F19" t="s">
        <v>10</v>
      </c>
      <c r="G19" t="s">
        <v>42</v>
      </c>
      <c r="H19" s="1"/>
    </row>
    <row r="20" spans="1:9" x14ac:dyDescent="0.6">
      <c r="A20" s="8" t="s">
        <v>40</v>
      </c>
      <c r="B20" s="8" t="s">
        <v>41</v>
      </c>
      <c r="C20" s="8"/>
      <c r="D20" s="8" t="s">
        <v>3</v>
      </c>
      <c r="E20">
        <f t="shared" si="2"/>
        <v>19</v>
      </c>
      <c r="F20" t="s">
        <v>9</v>
      </c>
      <c r="G20" t="s">
        <v>42</v>
      </c>
      <c r="H20" s="1"/>
    </row>
    <row r="21" spans="1:9" x14ac:dyDescent="0.6">
      <c r="A21" s="8" t="s">
        <v>40</v>
      </c>
      <c r="B21" s="8" t="s">
        <v>41</v>
      </c>
      <c r="C21" s="8"/>
      <c r="D21" s="8" t="s">
        <v>3</v>
      </c>
      <c r="E21">
        <f t="shared" si="2"/>
        <v>20</v>
      </c>
      <c r="F21" t="s">
        <v>1</v>
      </c>
      <c r="G21" t="s">
        <v>42</v>
      </c>
      <c r="H21" s="1"/>
    </row>
    <row r="22" spans="1:9" x14ac:dyDescent="0.6">
      <c r="A22" s="8" t="s">
        <v>40</v>
      </c>
      <c r="B22" s="8" t="s">
        <v>41</v>
      </c>
      <c r="C22" s="8"/>
      <c r="D22" s="8" t="s">
        <v>3</v>
      </c>
      <c r="E22">
        <f t="shared" si="2"/>
        <v>21</v>
      </c>
      <c r="F22" t="s">
        <v>6</v>
      </c>
      <c r="G22" t="s">
        <v>42</v>
      </c>
      <c r="H22" s="1"/>
    </row>
    <row r="23" spans="1:9" x14ac:dyDescent="0.6">
      <c r="A23" s="8" t="s">
        <v>40</v>
      </c>
      <c r="B23" s="8" t="s">
        <v>41</v>
      </c>
      <c r="C23" s="8"/>
      <c r="D23" s="8" t="s">
        <v>3</v>
      </c>
      <c r="E23">
        <f t="shared" si="2"/>
        <v>22</v>
      </c>
      <c r="F23" t="s">
        <v>5</v>
      </c>
      <c r="G23" t="s">
        <v>42</v>
      </c>
      <c r="H23" s="1"/>
    </row>
    <row r="24" spans="1:9" x14ac:dyDescent="0.6">
      <c r="A24" s="8" t="s">
        <v>40</v>
      </c>
      <c r="B24" s="8" t="s">
        <v>41</v>
      </c>
      <c r="C24" s="8"/>
      <c r="D24" s="8" t="s">
        <v>3</v>
      </c>
      <c r="E24">
        <f t="shared" si="2"/>
        <v>23</v>
      </c>
      <c r="F24" t="s">
        <v>4</v>
      </c>
      <c r="G24" t="s">
        <v>42</v>
      </c>
      <c r="H24" s="1"/>
    </row>
    <row r="25" spans="1:9" x14ac:dyDescent="0.6">
      <c r="A25" s="8" t="s">
        <v>40</v>
      </c>
      <c r="B25" s="8" t="s">
        <v>41</v>
      </c>
      <c r="C25" s="8"/>
      <c r="D25" s="8" t="s">
        <v>3</v>
      </c>
      <c r="E25">
        <f t="shared" si="2"/>
        <v>24</v>
      </c>
      <c r="F25" t="s">
        <v>2</v>
      </c>
      <c r="G25" t="s">
        <v>42</v>
      </c>
      <c r="H25" s="1"/>
      <c r="I2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A82-6A21-44FC-86F1-F467AB2ECEED}">
  <dimension ref="A1:I74"/>
  <sheetViews>
    <sheetView zoomScaleNormal="100" workbookViewId="0">
      <pane xSplit="1" ySplit="1" topLeftCell="B67" activePane="bottomRight" state="frozen"/>
      <selection pane="topRight" activeCell="D1" sqref="D1"/>
      <selection pane="bottomLeft" activeCell="A2" sqref="A2"/>
      <selection pane="bottomRight" activeCell="A75" sqref="A75:XFD86"/>
    </sheetView>
  </sheetViews>
  <sheetFormatPr defaultRowHeight="16.899999999999999" x14ac:dyDescent="0.6"/>
  <sheetData>
    <row r="1" spans="1:9" ht="21.4" x14ac:dyDescent="0.6">
      <c r="A1" s="10" t="s">
        <v>76</v>
      </c>
    </row>
    <row r="2" spans="1:9" x14ac:dyDescent="0.6">
      <c r="A2" s="9"/>
    </row>
    <row r="3" spans="1:9" ht="35.65" x14ac:dyDescent="0.6">
      <c r="A3" s="10" t="s">
        <v>77</v>
      </c>
    </row>
    <row r="4" spans="1:9" ht="27" x14ac:dyDescent="0.6">
      <c r="A4" s="11" t="s">
        <v>78</v>
      </c>
      <c r="B4" s="12" t="s">
        <v>43</v>
      </c>
    </row>
    <row r="5" spans="1:9" x14ac:dyDescent="0.6">
      <c r="A5" s="20" t="s">
        <v>44</v>
      </c>
      <c r="B5" s="22" t="s">
        <v>45</v>
      </c>
      <c r="C5" s="23"/>
      <c r="D5" s="22" t="s">
        <v>46</v>
      </c>
      <c r="E5" s="23"/>
      <c r="F5" s="22" t="s">
        <v>47</v>
      </c>
      <c r="G5" s="23"/>
      <c r="H5" s="22" t="s">
        <v>48</v>
      </c>
      <c r="I5" s="24"/>
    </row>
    <row r="6" spans="1:9" x14ac:dyDescent="0.6">
      <c r="A6" s="21"/>
      <c r="B6" s="17" t="s">
        <v>79</v>
      </c>
      <c r="C6" s="17" t="s">
        <v>80</v>
      </c>
      <c r="D6" s="17" t="s">
        <v>79</v>
      </c>
      <c r="E6" s="17" t="s">
        <v>80</v>
      </c>
      <c r="F6" s="17" t="s">
        <v>79</v>
      </c>
      <c r="G6" s="17" t="s">
        <v>80</v>
      </c>
      <c r="H6" s="17" t="s">
        <v>79</v>
      </c>
      <c r="I6" s="18" t="s">
        <v>80</v>
      </c>
    </row>
    <row r="7" spans="1:9" x14ac:dyDescent="0.3">
      <c r="A7" s="13" t="s">
        <v>49</v>
      </c>
      <c r="B7" s="3"/>
      <c r="C7" s="3"/>
      <c r="D7" s="3"/>
      <c r="E7" s="3"/>
      <c r="F7" s="3"/>
      <c r="G7" s="3"/>
      <c r="H7" s="3"/>
      <c r="I7" s="7"/>
    </row>
    <row r="8" spans="1:9" ht="17" customHeight="1" x14ac:dyDescent="0.3">
      <c r="A8" s="13" t="s">
        <v>50</v>
      </c>
      <c r="B8" s="2">
        <v>1193588</v>
      </c>
      <c r="C8" s="2">
        <v>2382518</v>
      </c>
      <c r="D8" s="3" t="s">
        <v>75</v>
      </c>
      <c r="E8" s="3" t="s">
        <v>75</v>
      </c>
      <c r="F8" s="3" t="s">
        <v>75</v>
      </c>
      <c r="G8" s="3" t="s">
        <v>75</v>
      </c>
      <c r="H8" s="2">
        <v>1193588</v>
      </c>
      <c r="I8" s="4">
        <v>2382518</v>
      </c>
    </row>
    <row r="9" spans="1:9" ht="40.5" x14ac:dyDescent="0.3">
      <c r="A9" s="13" t="s">
        <v>35</v>
      </c>
      <c r="B9" s="2">
        <v>383897</v>
      </c>
      <c r="C9" s="2">
        <v>755628</v>
      </c>
      <c r="D9" s="3" t="s">
        <v>75</v>
      </c>
      <c r="E9" s="3" t="s">
        <v>75</v>
      </c>
      <c r="F9" s="3" t="s">
        <v>75</v>
      </c>
      <c r="G9" s="3" t="s">
        <v>75</v>
      </c>
      <c r="H9" s="2">
        <v>383897</v>
      </c>
      <c r="I9" s="4">
        <v>755628</v>
      </c>
    </row>
    <row r="10" spans="1:9" ht="27" x14ac:dyDescent="0.3">
      <c r="A10" s="13" t="s">
        <v>51</v>
      </c>
      <c r="B10" s="2">
        <v>105179</v>
      </c>
      <c r="C10" s="2">
        <v>208101</v>
      </c>
      <c r="D10" s="3" t="s">
        <v>75</v>
      </c>
      <c r="E10" s="3" t="s">
        <v>75</v>
      </c>
      <c r="F10" s="3" t="s">
        <v>75</v>
      </c>
      <c r="G10" s="3" t="s">
        <v>75</v>
      </c>
      <c r="H10" s="2">
        <v>105179</v>
      </c>
      <c r="I10" s="4">
        <v>208101</v>
      </c>
    </row>
    <row r="11" spans="1:9" ht="27" x14ac:dyDescent="0.3">
      <c r="A11" s="13" t="s">
        <v>52</v>
      </c>
      <c r="B11" s="2">
        <v>48236</v>
      </c>
      <c r="C11" s="2">
        <v>96322</v>
      </c>
      <c r="D11" s="3" t="s">
        <v>75</v>
      </c>
      <c r="E11" s="3" t="s">
        <v>75</v>
      </c>
      <c r="F11" s="3" t="s">
        <v>75</v>
      </c>
      <c r="G11" s="3" t="s">
        <v>75</v>
      </c>
      <c r="H11" s="2">
        <v>48236</v>
      </c>
      <c r="I11" s="4">
        <v>96322</v>
      </c>
    </row>
    <row r="12" spans="1:9" ht="27" x14ac:dyDescent="0.3">
      <c r="A12" s="13" t="s">
        <v>53</v>
      </c>
      <c r="B12" s="2">
        <v>7677</v>
      </c>
      <c r="C12" s="2">
        <v>15289</v>
      </c>
      <c r="D12" s="3" t="s">
        <v>75</v>
      </c>
      <c r="E12" s="3" t="s">
        <v>75</v>
      </c>
      <c r="F12" s="3" t="s">
        <v>75</v>
      </c>
      <c r="G12" s="3" t="s">
        <v>75</v>
      </c>
      <c r="H12" s="2">
        <v>7677</v>
      </c>
      <c r="I12" s="4">
        <v>15289</v>
      </c>
    </row>
    <row r="13" spans="1:9" ht="54" x14ac:dyDescent="0.3">
      <c r="A13" s="13" t="s">
        <v>54</v>
      </c>
      <c r="B13" s="2">
        <v>36519</v>
      </c>
      <c r="C13" s="2">
        <v>57614</v>
      </c>
      <c r="D13" s="3" t="s">
        <v>75</v>
      </c>
      <c r="E13" s="3" t="s">
        <v>75</v>
      </c>
      <c r="F13" s="3" t="s">
        <v>75</v>
      </c>
      <c r="G13" s="3" t="s">
        <v>75</v>
      </c>
      <c r="H13" s="2">
        <v>36519</v>
      </c>
      <c r="I13" s="4">
        <v>57614</v>
      </c>
    </row>
    <row r="14" spans="1:9" ht="27" x14ac:dyDescent="0.3">
      <c r="A14" s="13" t="s">
        <v>55</v>
      </c>
      <c r="B14" s="2">
        <v>331578</v>
      </c>
      <c r="C14" s="2">
        <v>653946</v>
      </c>
      <c r="D14" s="3" t="s">
        <v>75</v>
      </c>
      <c r="E14" s="3" t="s">
        <v>75</v>
      </c>
      <c r="F14" s="3" t="s">
        <v>75</v>
      </c>
      <c r="G14" s="3" t="s">
        <v>75</v>
      </c>
      <c r="H14" s="2">
        <v>331578</v>
      </c>
      <c r="I14" s="4">
        <v>653946</v>
      </c>
    </row>
    <row r="15" spans="1:9" ht="27" x14ac:dyDescent="0.3">
      <c r="A15" s="13" t="s">
        <v>56</v>
      </c>
      <c r="B15" s="2">
        <v>-23220</v>
      </c>
      <c r="C15" s="2">
        <v>-49827</v>
      </c>
      <c r="D15" s="3" t="s">
        <v>75</v>
      </c>
      <c r="E15" s="3" t="s">
        <v>75</v>
      </c>
      <c r="F15" s="3" t="s">
        <v>75</v>
      </c>
      <c r="G15" s="3" t="s">
        <v>75</v>
      </c>
      <c r="H15" s="2">
        <v>-23220</v>
      </c>
      <c r="I15" s="4">
        <v>-49827</v>
      </c>
    </row>
    <row r="16" spans="1:9" ht="54" x14ac:dyDescent="0.3">
      <c r="A16" s="13" t="s">
        <v>57</v>
      </c>
      <c r="B16" s="3" t="s">
        <v>75</v>
      </c>
      <c r="C16" s="3" t="s">
        <v>75</v>
      </c>
      <c r="D16" s="2">
        <v>505320</v>
      </c>
      <c r="E16" s="2">
        <v>986800</v>
      </c>
      <c r="F16" s="2">
        <v>1056146</v>
      </c>
      <c r="G16" s="2">
        <v>2121882</v>
      </c>
      <c r="H16" s="2">
        <v>1561466</v>
      </c>
      <c r="I16" s="4">
        <v>3108682</v>
      </c>
    </row>
    <row r="17" spans="1:9" ht="27" x14ac:dyDescent="0.6">
      <c r="A17" s="14" t="s">
        <v>58</v>
      </c>
      <c r="B17" s="2">
        <v>2083454</v>
      </c>
      <c r="C17" s="2">
        <v>4119591</v>
      </c>
      <c r="D17" s="2">
        <v>505320</v>
      </c>
      <c r="E17" s="2">
        <v>986800</v>
      </c>
      <c r="F17" s="2">
        <v>1056146</v>
      </c>
      <c r="G17" s="2">
        <v>2121882</v>
      </c>
      <c r="H17" s="2">
        <v>3644920</v>
      </c>
      <c r="I17" s="4">
        <v>7228273</v>
      </c>
    </row>
    <row r="18" spans="1:9" x14ac:dyDescent="0.3">
      <c r="A18" s="13" t="s">
        <v>59</v>
      </c>
      <c r="B18" s="3"/>
      <c r="C18" s="3"/>
      <c r="D18" s="3"/>
      <c r="E18" s="3"/>
      <c r="F18" s="3"/>
      <c r="G18" s="3"/>
      <c r="H18" s="3"/>
      <c r="I18" s="7"/>
    </row>
    <row r="19" spans="1:9" ht="54" x14ac:dyDescent="0.3">
      <c r="A19" s="13" t="s">
        <v>57</v>
      </c>
      <c r="B19" s="3" t="s">
        <v>75</v>
      </c>
      <c r="C19" s="3" t="s">
        <v>75</v>
      </c>
      <c r="D19" s="2">
        <v>26113</v>
      </c>
      <c r="E19" s="2">
        <v>49442</v>
      </c>
      <c r="F19" s="3" t="s">
        <v>75</v>
      </c>
      <c r="G19" s="3" t="s">
        <v>75</v>
      </c>
      <c r="H19" s="2">
        <v>26113</v>
      </c>
      <c r="I19" s="4">
        <v>49442</v>
      </c>
    </row>
    <row r="20" spans="1:9" ht="27" x14ac:dyDescent="0.6">
      <c r="A20" s="15" t="s">
        <v>48</v>
      </c>
      <c r="B20" s="5">
        <v>2083454</v>
      </c>
      <c r="C20" s="5">
        <v>4119591</v>
      </c>
      <c r="D20" s="5">
        <v>531433</v>
      </c>
      <c r="E20" s="5">
        <v>1036242</v>
      </c>
      <c r="F20" s="5">
        <v>1056146</v>
      </c>
      <c r="G20" s="5">
        <v>2121882</v>
      </c>
      <c r="H20" s="5">
        <v>3671033</v>
      </c>
      <c r="I20" s="6">
        <v>7277715</v>
      </c>
    </row>
    <row r="21" spans="1:9" x14ac:dyDescent="0.6">
      <c r="A21" s="16"/>
    </row>
    <row r="22" spans="1:9" ht="35.65" x14ac:dyDescent="0.6">
      <c r="A22" s="10" t="s">
        <v>81</v>
      </c>
    </row>
    <row r="23" spans="1:9" ht="27" x14ac:dyDescent="0.6">
      <c r="A23" s="11" t="s">
        <v>78</v>
      </c>
      <c r="B23" s="12" t="s">
        <v>43</v>
      </c>
    </row>
    <row r="24" spans="1:9" ht="28.8" customHeight="1" x14ac:dyDescent="0.6">
      <c r="A24" s="20" t="s">
        <v>44</v>
      </c>
      <c r="B24" s="22" t="s">
        <v>45</v>
      </c>
      <c r="C24" s="23"/>
      <c r="D24" s="22" t="s">
        <v>46</v>
      </c>
      <c r="E24" s="23"/>
      <c r="F24" s="22" t="s">
        <v>47</v>
      </c>
      <c r="G24" s="23"/>
      <c r="H24" s="22" t="s">
        <v>48</v>
      </c>
      <c r="I24" s="24"/>
    </row>
    <row r="25" spans="1:9" x14ac:dyDescent="0.6">
      <c r="A25" s="21"/>
      <c r="B25" s="17" t="s">
        <v>79</v>
      </c>
      <c r="C25" s="17" t="s">
        <v>80</v>
      </c>
      <c r="D25" s="17" t="s">
        <v>79</v>
      </c>
      <c r="E25" s="17" t="s">
        <v>80</v>
      </c>
      <c r="F25" s="17" t="s">
        <v>79</v>
      </c>
      <c r="G25" s="17" t="s">
        <v>80</v>
      </c>
      <c r="H25" s="17" t="s">
        <v>79</v>
      </c>
      <c r="I25" s="18" t="s">
        <v>80</v>
      </c>
    </row>
    <row r="26" spans="1:9" x14ac:dyDescent="0.3">
      <c r="A26" s="13" t="s">
        <v>49</v>
      </c>
      <c r="B26" s="3"/>
      <c r="C26" s="3"/>
      <c r="D26" s="3"/>
      <c r="E26" s="3"/>
      <c r="F26" s="3"/>
      <c r="G26" s="3"/>
      <c r="H26" s="3"/>
      <c r="I26" s="7"/>
    </row>
    <row r="27" spans="1:9" ht="27" x14ac:dyDescent="0.3">
      <c r="A27" s="13" t="s">
        <v>60</v>
      </c>
      <c r="B27" s="2">
        <v>1138442</v>
      </c>
      <c r="C27" s="2">
        <v>2327604</v>
      </c>
      <c r="D27" s="2">
        <v>297863</v>
      </c>
      <c r="E27" s="2">
        <v>666274</v>
      </c>
      <c r="F27" s="2">
        <v>798075</v>
      </c>
      <c r="G27" s="2">
        <v>1581791</v>
      </c>
      <c r="H27" s="2">
        <v>2234380</v>
      </c>
      <c r="I27" s="4">
        <v>4575669</v>
      </c>
    </row>
    <row r="28" spans="1:9" ht="40.5" x14ac:dyDescent="0.3">
      <c r="A28" s="13" t="s">
        <v>35</v>
      </c>
      <c r="B28" s="2">
        <v>383897</v>
      </c>
      <c r="C28" s="2">
        <v>755628</v>
      </c>
      <c r="D28" s="2">
        <v>89220</v>
      </c>
      <c r="E28" s="2">
        <v>182198</v>
      </c>
      <c r="F28" s="3" t="s">
        <v>75</v>
      </c>
      <c r="G28" s="3" t="s">
        <v>75</v>
      </c>
      <c r="H28" s="2">
        <v>473117</v>
      </c>
      <c r="I28" s="4">
        <v>937826</v>
      </c>
    </row>
    <row r="29" spans="1:9" ht="40.5" x14ac:dyDescent="0.3">
      <c r="A29" s="13" t="s">
        <v>61</v>
      </c>
      <c r="B29" s="3" t="s">
        <v>75</v>
      </c>
      <c r="C29" s="3" t="s">
        <v>75</v>
      </c>
      <c r="D29" s="3">
        <v>764</v>
      </c>
      <c r="E29" s="2">
        <v>1360</v>
      </c>
      <c r="F29" s="2">
        <v>111017</v>
      </c>
      <c r="G29" s="2">
        <v>213198</v>
      </c>
      <c r="H29" s="2">
        <v>111781</v>
      </c>
      <c r="I29" s="4">
        <v>214558</v>
      </c>
    </row>
    <row r="30" spans="1:9" ht="27" x14ac:dyDescent="0.3">
      <c r="A30" s="13" t="s">
        <v>62</v>
      </c>
      <c r="B30" s="2">
        <v>115237</v>
      </c>
      <c r="C30" s="2">
        <v>215543</v>
      </c>
      <c r="D30" s="2">
        <v>10735</v>
      </c>
      <c r="E30" s="2">
        <v>29118</v>
      </c>
      <c r="F30" s="2">
        <v>41362</v>
      </c>
      <c r="G30" s="2">
        <v>80084</v>
      </c>
      <c r="H30" s="2">
        <v>167334</v>
      </c>
      <c r="I30" s="4">
        <v>324745</v>
      </c>
    </row>
    <row r="31" spans="1:9" ht="27" x14ac:dyDescent="0.3">
      <c r="A31" s="13" t="s">
        <v>63</v>
      </c>
      <c r="B31" s="2">
        <v>53522</v>
      </c>
      <c r="C31" s="2">
        <v>107997</v>
      </c>
      <c r="D31" s="2">
        <v>41666</v>
      </c>
      <c r="E31" s="2">
        <v>72385</v>
      </c>
      <c r="F31" s="2">
        <v>71040</v>
      </c>
      <c r="G31" s="2">
        <v>141350</v>
      </c>
      <c r="H31" s="2">
        <v>166228</v>
      </c>
      <c r="I31" s="4">
        <v>321732</v>
      </c>
    </row>
    <row r="32" spans="1:9" ht="27" x14ac:dyDescent="0.3">
      <c r="A32" s="13" t="s">
        <v>64</v>
      </c>
      <c r="B32" s="2">
        <v>3431</v>
      </c>
      <c r="C32" s="2">
        <v>6903</v>
      </c>
      <c r="D32" s="3" t="s">
        <v>75</v>
      </c>
      <c r="E32" s="3" t="s">
        <v>75</v>
      </c>
      <c r="F32" s="3" t="s">
        <v>75</v>
      </c>
      <c r="G32" s="3" t="s">
        <v>75</v>
      </c>
      <c r="H32" s="2">
        <v>3431</v>
      </c>
      <c r="I32" s="4">
        <v>6903</v>
      </c>
    </row>
    <row r="33" spans="1:9" ht="54" x14ac:dyDescent="0.3">
      <c r="A33" s="13" t="s">
        <v>36</v>
      </c>
      <c r="B33" s="2">
        <v>35413</v>
      </c>
      <c r="C33" s="2">
        <v>-66982</v>
      </c>
      <c r="D33" s="3">
        <v>126</v>
      </c>
      <c r="E33" s="3">
        <v>394</v>
      </c>
      <c r="F33" s="3" t="s">
        <v>75</v>
      </c>
      <c r="G33" s="3">
        <v>-254</v>
      </c>
      <c r="H33" s="2">
        <v>35539</v>
      </c>
      <c r="I33" s="4">
        <v>-66842</v>
      </c>
    </row>
    <row r="34" spans="1:9" ht="27" x14ac:dyDescent="0.3">
      <c r="A34" s="13" t="s">
        <v>37</v>
      </c>
      <c r="B34" s="2">
        <v>-39119</v>
      </c>
      <c r="C34" s="2">
        <v>-110140</v>
      </c>
      <c r="D34" s="2">
        <v>-112055</v>
      </c>
      <c r="E34" s="2">
        <v>-286761</v>
      </c>
      <c r="F34" s="2">
        <v>-41692</v>
      </c>
      <c r="G34" s="2">
        <v>-70761</v>
      </c>
      <c r="H34" s="2">
        <v>-192866</v>
      </c>
      <c r="I34" s="4">
        <v>-467662</v>
      </c>
    </row>
    <row r="35" spans="1:9" ht="27" x14ac:dyDescent="0.3">
      <c r="A35" s="13" t="s">
        <v>56</v>
      </c>
      <c r="B35" s="2">
        <v>-23220</v>
      </c>
      <c r="C35" s="2">
        <v>-49827</v>
      </c>
      <c r="D35" s="3" t="s">
        <v>75</v>
      </c>
      <c r="E35" s="3" t="s">
        <v>75</v>
      </c>
      <c r="F35" s="3" t="s">
        <v>75</v>
      </c>
      <c r="G35" s="3" t="s">
        <v>75</v>
      </c>
      <c r="H35" s="2">
        <v>-23220</v>
      </c>
      <c r="I35" s="4">
        <v>-49827</v>
      </c>
    </row>
    <row r="36" spans="1:9" ht="27" x14ac:dyDescent="0.3">
      <c r="A36" s="13" t="s">
        <v>82</v>
      </c>
      <c r="B36" s="2">
        <v>-7150</v>
      </c>
      <c r="C36" s="2">
        <v>-18941</v>
      </c>
      <c r="D36" s="3" t="s">
        <v>75</v>
      </c>
      <c r="E36" s="3" t="s">
        <v>75</v>
      </c>
      <c r="F36" s="3" t="s">
        <v>75</v>
      </c>
      <c r="G36" s="3" t="s">
        <v>75</v>
      </c>
      <c r="H36" s="2">
        <v>-7150</v>
      </c>
      <c r="I36" s="4">
        <v>-18941</v>
      </c>
    </row>
    <row r="37" spans="1:9" ht="27" x14ac:dyDescent="0.6">
      <c r="A37" s="14" t="s">
        <v>58</v>
      </c>
      <c r="B37" s="2">
        <v>1660453</v>
      </c>
      <c r="C37" s="2">
        <v>3167785</v>
      </c>
      <c r="D37" s="2">
        <v>328319</v>
      </c>
      <c r="E37" s="2">
        <v>664968</v>
      </c>
      <c r="F37" s="2">
        <v>979802</v>
      </c>
      <c r="G37" s="2">
        <v>1945408</v>
      </c>
      <c r="H37" s="2">
        <v>2968574</v>
      </c>
      <c r="I37" s="4">
        <v>5778161</v>
      </c>
    </row>
    <row r="38" spans="1:9" x14ac:dyDescent="0.3">
      <c r="A38" s="13" t="s">
        <v>59</v>
      </c>
      <c r="B38" s="3"/>
      <c r="C38" s="3"/>
      <c r="D38" s="3"/>
      <c r="E38" s="3"/>
      <c r="F38" s="3"/>
      <c r="G38" s="3"/>
      <c r="H38" s="3"/>
      <c r="I38" s="7"/>
    </row>
    <row r="39" spans="1:9" ht="27" x14ac:dyDescent="0.3">
      <c r="A39" s="13" t="s">
        <v>65</v>
      </c>
      <c r="B39" s="3" t="s">
        <v>75</v>
      </c>
      <c r="C39" s="3" t="s">
        <v>75</v>
      </c>
      <c r="D39" s="2">
        <v>50358</v>
      </c>
      <c r="E39" s="2">
        <v>143009</v>
      </c>
      <c r="F39" s="3" t="s">
        <v>75</v>
      </c>
      <c r="G39" s="3" t="s">
        <v>75</v>
      </c>
      <c r="H39" s="2">
        <v>50358</v>
      </c>
      <c r="I39" s="4">
        <v>143009</v>
      </c>
    </row>
    <row r="40" spans="1:9" ht="27" x14ac:dyDescent="0.3">
      <c r="A40" s="13" t="s">
        <v>66</v>
      </c>
      <c r="B40" s="3" t="s">
        <v>75</v>
      </c>
      <c r="C40" s="3" t="s">
        <v>75</v>
      </c>
      <c r="D40" s="3">
        <v>104</v>
      </c>
      <c r="E40" s="3">
        <v>359</v>
      </c>
      <c r="F40" s="3" t="s">
        <v>75</v>
      </c>
      <c r="G40" s="3" t="s">
        <v>75</v>
      </c>
      <c r="H40" s="3">
        <v>104</v>
      </c>
      <c r="I40" s="7">
        <v>359</v>
      </c>
    </row>
    <row r="41" spans="1:9" ht="27" x14ac:dyDescent="0.3">
      <c r="A41" s="13" t="s">
        <v>67</v>
      </c>
      <c r="B41" s="3" t="s">
        <v>75</v>
      </c>
      <c r="C41" s="3" t="s">
        <v>75</v>
      </c>
      <c r="D41" s="3">
        <v>539</v>
      </c>
      <c r="E41" s="3">
        <v>629</v>
      </c>
      <c r="F41" s="3" t="s">
        <v>75</v>
      </c>
      <c r="G41" s="3" t="s">
        <v>75</v>
      </c>
      <c r="H41" s="3">
        <v>539</v>
      </c>
      <c r="I41" s="7">
        <v>629</v>
      </c>
    </row>
    <row r="42" spans="1:9" ht="27" x14ac:dyDescent="0.3">
      <c r="A42" s="13" t="s">
        <v>68</v>
      </c>
      <c r="B42" s="3" t="s">
        <v>75</v>
      </c>
      <c r="C42" s="3" t="s">
        <v>75</v>
      </c>
      <c r="D42" s="3">
        <v>53</v>
      </c>
      <c r="E42" s="3">
        <v>75</v>
      </c>
      <c r="F42" s="3" t="s">
        <v>75</v>
      </c>
      <c r="G42" s="3" t="s">
        <v>75</v>
      </c>
      <c r="H42" s="3">
        <v>53</v>
      </c>
      <c r="I42" s="7">
        <v>75</v>
      </c>
    </row>
    <row r="43" spans="1:9" ht="54" x14ac:dyDescent="0.3">
      <c r="A43" s="13" t="s">
        <v>36</v>
      </c>
      <c r="B43" s="3" t="s">
        <v>75</v>
      </c>
      <c r="C43" s="3" t="s">
        <v>75</v>
      </c>
      <c r="D43" s="3">
        <v>-201</v>
      </c>
      <c r="E43" s="3">
        <v>-193</v>
      </c>
      <c r="F43" s="3" t="s">
        <v>75</v>
      </c>
      <c r="G43" s="3" t="s">
        <v>75</v>
      </c>
      <c r="H43" s="3">
        <v>-201</v>
      </c>
      <c r="I43" s="7">
        <v>-193</v>
      </c>
    </row>
    <row r="44" spans="1:9" ht="27" x14ac:dyDescent="0.3">
      <c r="A44" s="13" t="s">
        <v>37</v>
      </c>
      <c r="B44" s="3" t="s">
        <v>75</v>
      </c>
      <c r="C44" s="3" t="s">
        <v>75</v>
      </c>
      <c r="D44" s="2">
        <v>-40253</v>
      </c>
      <c r="E44" s="2">
        <v>-116213</v>
      </c>
      <c r="F44" s="3" t="s">
        <v>75</v>
      </c>
      <c r="G44" s="3" t="s">
        <v>75</v>
      </c>
      <c r="H44" s="2">
        <v>-40253</v>
      </c>
      <c r="I44" s="4">
        <v>-116213</v>
      </c>
    </row>
    <row r="45" spans="1:9" x14ac:dyDescent="0.6">
      <c r="A45" s="14" t="s">
        <v>58</v>
      </c>
      <c r="B45" s="3" t="s">
        <v>75</v>
      </c>
      <c r="C45" s="3" t="s">
        <v>75</v>
      </c>
      <c r="D45" s="2">
        <v>10600</v>
      </c>
      <c r="E45" s="2">
        <v>27666</v>
      </c>
      <c r="F45" s="3" t="s">
        <v>75</v>
      </c>
      <c r="G45" s="3" t="s">
        <v>75</v>
      </c>
      <c r="H45" s="2">
        <v>10600</v>
      </c>
      <c r="I45" s="4">
        <v>27666</v>
      </c>
    </row>
    <row r="46" spans="1:9" ht="27" x14ac:dyDescent="0.6">
      <c r="A46" s="15" t="s">
        <v>48</v>
      </c>
      <c r="B46" s="5">
        <v>1660453</v>
      </c>
      <c r="C46" s="5">
        <v>3167785</v>
      </c>
      <c r="D46" s="5">
        <v>338919</v>
      </c>
      <c r="E46" s="5">
        <v>692634</v>
      </c>
      <c r="F46" s="5">
        <v>979802</v>
      </c>
      <c r="G46" s="5">
        <v>1945408</v>
      </c>
      <c r="H46" s="5">
        <v>2979174</v>
      </c>
      <c r="I46" s="6">
        <v>5805827</v>
      </c>
    </row>
    <row r="47" spans="1:9" x14ac:dyDescent="0.6">
      <c r="A47" s="16"/>
    </row>
    <row r="48" spans="1:9" ht="35.65" x14ac:dyDescent="0.6">
      <c r="A48" s="10" t="s">
        <v>83</v>
      </c>
    </row>
    <row r="49" spans="1:9" ht="27" x14ac:dyDescent="0.6">
      <c r="A49" s="11" t="s">
        <v>78</v>
      </c>
      <c r="B49" s="12" t="s">
        <v>43</v>
      </c>
    </row>
    <row r="50" spans="1:9" x14ac:dyDescent="0.6">
      <c r="A50" s="20" t="s">
        <v>44</v>
      </c>
      <c r="B50" s="22" t="s">
        <v>45</v>
      </c>
      <c r="C50" s="23"/>
      <c r="D50" s="22" t="s">
        <v>46</v>
      </c>
      <c r="E50" s="23"/>
      <c r="F50" s="22" t="s">
        <v>47</v>
      </c>
      <c r="G50" s="23"/>
      <c r="H50" s="22" t="s">
        <v>48</v>
      </c>
      <c r="I50" s="24"/>
    </row>
    <row r="51" spans="1:9" x14ac:dyDescent="0.6">
      <c r="A51" s="21"/>
      <c r="B51" s="17" t="s">
        <v>79</v>
      </c>
      <c r="C51" s="17" t="s">
        <v>80</v>
      </c>
      <c r="D51" s="17" t="s">
        <v>79</v>
      </c>
      <c r="E51" s="17" t="s">
        <v>80</v>
      </c>
      <c r="F51" s="17" t="s">
        <v>79</v>
      </c>
      <c r="G51" s="17" t="s">
        <v>80</v>
      </c>
      <c r="H51" s="17" t="s">
        <v>79</v>
      </c>
      <c r="I51" s="18" t="s">
        <v>80</v>
      </c>
    </row>
    <row r="52" spans="1:9" ht="27" x14ac:dyDescent="0.3">
      <c r="A52" s="13" t="s">
        <v>84</v>
      </c>
      <c r="B52" s="2">
        <v>76179</v>
      </c>
      <c r="C52" s="2">
        <v>156514</v>
      </c>
      <c r="D52" s="2">
        <v>83510</v>
      </c>
      <c r="E52" s="2">
        <v>40343</v>
      </c>
      <c r="F52" s="3">
        <v>-87</v>
      </c>
      <c r="G52" s="3">
        <v>229</v>
      </c>
      <c r="H52" s="2">
        <v>159602</v>
      </c>
      <c r="I52" s="4">
        <v>197086</v>
      </c>
    </row>
    <row r="53" spans="1:9" ht="27" x14ac:dyDescent="0.3">
      <c r="A53" s="13" t="s">
        <v>85</v>
      </c>
      <c r="B53" s="2">
        <v>-56421</v>
      </c>
      <c r="C53" s="2">
        <v>-112127</v>
      </c>
      <c r="D53" s="3" t="s">
        <v>75</v>
      </c>
      <c r="E53" s="3">
        <v>12</v>
      </c>
      <c r="F53" s="3" t="s">
        <v>75</v>
      </c>
      <c r="G53" s="3" t="s">
        <v>75</v>
      </c>
      <c r="H53" s="2">
        <v>-56421</v>
      </c>
      <c r="I53" s="4">
        <v>-112115</v>
      </c>
    </row>
    <row r="54" spans="1:9" ht="27" x14ac:dyDescent="0.3">
      <c r="A54" s="13" t="s">
        <v>69</v>
      </c>
      <c r="B54" s="2">
        <v>2349</v>
      </c>
      <c r="C54" s="2">
        <v>4742</v>
      </c>
      <c r="D54" s="2">
        <v>7155</v>
      </c>
      <c r="E54" s="2">
        <v>20318</v>
      </c>
      <c r="F54" s="3" t="s">
        <v>75</v>
      </c>
      <c r="G54" s="3" t="s">
        <v>75</v>
      </c>
      <c r="H54" s="2">
        <v>9504</v>
      </c>
      <c r="I54" s="4">
        <v>25060</v>
      </c>
    </row>
    <row r="55" spans="1:9" ht="40.5" x14ac:dyDescent="0.3">
      <c r="A55" s="13" t="s">
        <v>38</v>
      </c>
      <c r="B55" s="3">
        <v>-127</v>
      </c>
      <c r="C55" s="2">
        <v>-8464</v>
      </c>
      <c r="D55" s="3">
        <v>180</v>
      </c>
      <c r="E55" s="3">
        <v>431</v>
      </c>
      <c r="F55" s="3" t="s">
        <v>75</v>
      </c>
      <c r="G55" s="3" t="s">
        <v>75</v>
      </c>
      <c r="H55" s="3">
        <v>53</v>
      </c>
      <c r="I55" s="4">
        <v>-8033</v>
      </c>
    </row>
    <row r="56" spans="1:9" ht="27" x14ac:dyDescent="0.3">
      <c r="A56" s="13" t="s">
        <v>39</v>
      </c>
      <c r="B56" s="2">
        <v>5177</v>
      </c>
      <c r="C56" s="2">
        <v>-43745</v>
      </c>
      <c r="D56" s="2">
        <v>-40061</v>
      </c>
      <c r="E56" s="2">
        <v>25799</v>
      </c>
      <c r="F56" s="3">
        <v>170</v>
      </c>
      <c r="G56" s="3">
        <v>87</v>
      </c>
      <c r="H56" s="2">
        <v>-34714</v>
      </c>
      <c r="I56" s="4">
        <v>-17859</v>
      </c>
    </row>
    <row r="57" spans="1:9" ht="54" x14ac:dyDescent="0.3">
      <c r="A57" s="13" t="s">
        <v>54</v>
      </c>
      <c r="B57" s="3">
        <v>-47</v>
      </c>
      <c r="C57" s="3">
        <v>-92</v>
      </c>
      <c r="D57" s="3" t="s">
        <v>75</v>
      </c>
      <c r="E57" s="3" t="s">
        <v>75</v>
      </c>
      <c r="F57" s="3" t="s">
        <v>75</v>
      </c>
      <c r="G57" s="3" t="s">
        <v>75</v>
      </c>
      <c r="H57" s="3">
        <v>-47</v>
      </c>
      <c r="I57" s="7">
        <v>-92</v>
      </c>
    </row>
    <row r="58" spans="1:9" ht="27" x14ac:dyDescent="0.3">
      <c r="A58" s="13" t="s">
        <v>70</v>
      </c>
      <c r="B58" s="2">
        <v>6637</v>
      </c>
      <c r="C58" s="2">
        <v>12967</v>
      </c>
      <c r="D58" s="3" t="s">
        <v>75</v>
      </c>
      <c r="E58" s="3" t="s">
        <v>75</v>
      </c>
      <c r="F58" s="3" t="s">
        <v>75</v>
      </c>
      <c r="G58" s="3" t="s">
        <v>75</v>
      </c>
      <c r="H58" s="2">
        <v>6637</v>
      </c>
      <c r="I58" s="4">
        <v>12967</v>
      </c>
    </row>
    <row r="59" spans="1:9" x14ac:dyDescent="0.6">
      <c r="A59" s="15" t="s">
        <v>48</v>
      </c>
      <c r="B59" s="5">
        <v>33747</v>
      </c>
      <c r="C59" s="5">
        <v>9795</v>
      </c>
      <c r="D59" s="5">
        <v>50784</v>
      </c>
      <c r="E59" s="5">
        <v>86903</v>
      </c>
      <c r="F59" s="19">
        <v>83</v>
      </c>
      <c r="G59" s="19">
        <v>316</v>
      </c>
      <c r="H59" s="5">
        <v>84614</v>
      </c>
      <c r="I59" s="6">
        <v>97014</v>
      </c>
    </row>
    <row r="60" spans="1:9" x14ac:dyDescent="0.6">
      <c r="A60" s="16"/>
    </row>
    <row r="61" spans="1:9" ht="35.65" x14ac:dyDescent="0.6">
      <c r="A61" s="10" t="s">
        <v>86</v>
      </c>
    </row>
    <row r="62" spans="1:9" ht="27" x14ac:dyDescent="0.6">
      <c r="A62" s="11" t="s">
        <v>78</v>
      </c>
      <c r="B62" s="12" t="s">
        <v>43</v>
      </c>
    </row>
    <row r="63" spans="1:9" x14ac:dyDescent="0.6">
      <c r="A63" s="20" t="s">
        <v>44</v>
      </c>
      <c r="B63" s="22" t="s">
        <v>45</v>
      </c>
      <c r="C63" s="23"/>
      <c r="D63" s="22" t="s">
        <v>46</v>
      </c>
      <c r="E63" s="23"/>
      <c r="F63" s="22" t="s">
        <v>47</v>
      </c>
      <c r="G63" s="23"/>
      <c r="H63" s="22" t="s">
        <v>48</v>
      </c>
      <c r="I63" s="24"/>
    </row>
    <row r="64" spans="1:9" x14ac:dyDescent="0.6">
      <c r="A64" s="21"/>
      <c r="B64" s="17" t="s">
        <v>79</v>
      </c>
      <c r="C64" s="17" t="s">
        <v>80</v>
      </c>
      <c r="D64" s="17" t="s">
        <v>79</v>
      </c>
      <c r="E64" s="17" t="s">
        <v>80</v>
      </c>
      <c r="F64" s="17" t="s">
        <v>79</v>
      </c>
      <c r="G64" s="17" t="s">
        <v>80</v>
      </c>
      <c r="H64" s="17" t="s">
        <v>79</v>
      </c>
      <c r="I64" s="18" t="s">
        <v>80</v>
      </c>
    </row>
    <row r="65" spans="1:9" ht="27" x14ac:dyDescent="0.3">
      <c r="A65" s="13" t="s">
        <v>87</v>
      </c>
      <c r="B65" s="2">
        <v>95179</v>
      </c>
      <c r="C65" s="2">
        <v>189941</v>
      </c>
      <c r="D65" s="3" t="s">
        <v>75</v>
      </c>
      <c r="E65" s="3" t="s">
        <v>75</v>
      </c>
      <c r="F65" s="3" t="s">
        <v>75</v>
      </c>
      <c r="G65" s="3" t="s">
        <v>75</v>
      </c>
      <c r="H65" s="2">
        <v>95179</v>
      </c>
      <c r="I65" s="4">
        <v>189941</v>
      </c>
    </row>
    <row r="66" spans="1:9" ht="40.5" x14ac:dyDescent="0.3">
      <c r="A66" s="13" t="s">
        <v>71</v>
      </c>
      <c r="B66" s="2">
        <v>3750</v>
      </c>
      <c r="C66" s="2">
        <v>7560</v>
      </c>
      <c r="D66" s="3" t="s">
        <v>75</v>
      </c>
      <c r="E66" s="3" t="s">
        <v>75</v>
      </c>
      <c r="F66" s="3" t="s">
        <v>75</v>
      </c>
      <c r="G66" s="3" t="s">
        <v>75</v>
      </c>
      <c r="H66" s="2">
        <v>3750</v>
      </c>
      <c r="I66" s="4">
        <v>7560</v>
      </c>
    </row>
    <row r="67" spans="1:9" ht="40.5" x14ac:dyDescent="0.3">
      <c r="A67" s="13" t="s">
        <v>88</v>
      </c>
      <c r="B67" s="2">
        <v>-58553</v>
      </c>
      <c r="C67" s="2">
        <v>-118164</v>
      </c>
      <c r="D67" s="3" t="s">
        <v>75</v>
      </c>
      <c r="E67" s="3" t="s">
        <v>75</v>
      </c>
      <c r="F67" s="3" t="s">
        <v>75</v>
      </c>
      <c r="G67" s="3" t="s">
        <v>75</v>
      </c>
      <c r="H67" s="2">
        <v>-58553</v>
      </c>
      <c r="I67" s="4">
        <v>-118164</v>
      </c>
    </row>
    <row r="68" spans="1:9" ht="54" x14ac:dyDescent="0.3">
      <c r="A68" s="13" t="s">
        <v>54</v>
      </c>
      <c r="B68" s="3">
        <v>980</v>
      </c>
      <c r="C68" s="2">
        <v>1902</v>
      </c>
      <c r="D68" s="3" t="s">
        <v>75</v>
      </c>
      <c r="E68" s="3" t="s">
        <v>75</v>
      </c>
      <c r="F68" s="3" t="s">
        <v>75</v>
      </c>
      <c r="G68" s="3" t="s">
        <v>75</v>
      </c>
      <c r="H68" s="3">
        <v>980</v>
      </c>
      <c r="I68" s="4">
        <v>1902</v>
      </c>
    </row>
    <row r="69" spans="1:9" ht="27" x14ac:dyDescent="0.3">
      <c r="A69" s="13" t="s">
        <v>55</v>
      </c>
      <c r="B69" s="2">
        <v>-4734</v>
      </c>
      <c r="C69" s="2">
        <v>-9313</v>
      </c>
      <c r="D69" s="3" t="s">
        <v>75</v>
      </c>
      <c r="E69" s="3" t="s">
        <v>75</v>
      </c>
      <c r="F69" s="3" t="s">
        <v>75</v>
      </c>
      <c r="G69" s="3" t="s">
        <v>75</v>
      </c>
      <c r="H69" s="2">
        <v>-4734</v>
      </c>
      <c r="I69" s="4">
        <v>-9313</v>
      </c>
    </row>
    <row r="70" spans="1:9" ht="27" x14ac:dyDescent="0.3">
      <c r="A70" s="13" t="s">
        <v>72</v>
      </c>
      <c r="B70" s="3">
        <v>-47</v>
      </c>
      <c r="C70" s="3">
        <v>-92</v>
      </c>
      <c r="D70" s="3" t="s">
        <v>75</v>
      </c>
      <c r="E70" s="3" t="s">
        <v>75</v>
      </c>
      <c r="F70" s="3" t="s">
        <v>75</v>
      </c>
      <c r="G70" s="3" t="s">
        <v>75</v>
      </c>
      <c r="H70" s="3">
        <v>-47</v>
      </c>
      <c r="I70" s="7">
        <v>-92</v>
      </c>
    </row>
    <row r="71" spans="1:9" ht="54" x14ac:dyDescent="0.3">
      <c r="A71" s="13" t="s">
        <v>73</v>
      </c>
      <c r="B71" s="3" t="s">
        <v>75</v>
      </c>
      <c r="C71" s="3" t="s">
        <v>75</v>
      </c>
      <c r="D71" s="2">
        <v>166248</v>
      </c>
      <c r="E71" s="2">
        <v>330137</v>
      </c>
      <c r="F71" s="2">
        <v>2892</v>
      </c>
      <c r="G71" s="2">
        <v>4701</v>
      </c>
      <c r="H71" s="2">
        <v>169140</v>
      </c>
      <c r="I71" s="4">
        <v>334838</v>
      </c>
    </row>
    <row r="72" spans="1:9" ht="27" x14ac:dyDescent="0.3">
      <c r="A72" s="13" t="s">
        <v>74</v>
      </c>
      <c r="B72" s="2">
        <v>6930</v>
      </c>
      <c r="C72" s="2">
        <v>13099</v>
      </c>
      <c r="D72" s="3" t="s">
        <v>75</v>
      </c>
      <c r="E72" s="3" t="s">
        <v>75</v>
      </c>
      <c r="F72" s="3" t="s">
        <v>75</v>
      </c>
      <c r="G72" s="3" t="s">
        <v>75</v>
      </c>
      <c r="H72" s="2">
        <v>6930</v>
      </c>
      <c r="I72" s="4">
        <v>13099</v>
      </c>
    </row>
    <row r="73" spans="1:9" x14ac:dyDescent="0.6">
      <c r="A73" s="15" t="s">
        <v>48</v>
      </c>
      <c r="B73" s="5">
        <v>43505</v>
      </c>
      <c r="C73" s="5">
        <v>84933</v>
      </c>
      <c r="D73" s="5">
        <v>166248</v>
      </c>
      <c r="E73" s="5">
        <v>330137</v>
      </c>
      <c r="F73" s="5">
        <v>2892</v>
      </c>
      <c r="G73" s="5">
        <v>4701</v>
      </c>
      <c r="H73" s="5">
        <v>212645</v>
      </c>
      <c r="I73" s="6">
        <v>419771</v>
      </c>
    </row>
    <row r="74" spans="1:9" x14ac:dyDescent="0.6">
      <c r="A74" s="16"/>
    </row>
  </sheetData>
  <mergeCells count="20">
    <mergeCell ref="A63:A64"/>
    <mergeCell ref="B63:C63"/>
    <mergeCell ref="D63:E63"/>
    <mergeCell ref="F63:G63"/>
    <mergeCell ref="H63:I63"/>
    <mergeCell ref="A50:A51"/>
    <mergeCell ref="B50:C50"/>
    <mergeCell ref="D50:E50"/>
    <mergeCell ref="F50:G50"/>
    <mergeCell ref="H50:I50"/>
    <mergeCell ref="A24:A25"/>
    <mergeCell ref="B24:C24"/>
    <mergeCell ref="D24:E24"/>
    <mergeCell ref="F24:G24"/>
    <mergeCell ref="H24:I24"/>
    <mergeCell ref="A5:A6"/>
    <mergeCell ref="B5:C5"/>
    <mergeCell ref="D5:E5"/>
    <mergeCell ref="F5:G5"/>
    <mergeCell ref="H5:I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보험손익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2026-06-01T12:02:49Z</dcterms:created>
  <dcterms:modified xsi:type="dcterms:W3CDTF">2026-06-06T08:11:41Z</dcterms:modified>
</cp:coreProperties>
</file>