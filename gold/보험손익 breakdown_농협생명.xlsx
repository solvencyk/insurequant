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5F8B6A08-F0EA-4932-8348-266AF2162A33}" xr6:coauthVersionLast="47" xr6:coauthVersionMax="47" xr10:uidLastSave="{00000000-0000-0000-0000-000000000000}"/>
  <bookViews>
    <workbookView xWindow="-98" yWindow="-98" windowWidth="21795" windowHeight="12975" xr2:uid="{3CD259B9-5A78-42E0-B669-107C3DC53255}"/>
  </bookViews>
  <sheets>
    <sheet name="Sheet2" sheetId="2" r:id="rId1"/>
    <sheet name="부문별" sheetId="1" r:id="rId2"/>
    <sheet name="포괄손익계산서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2" l="1"/>
  <c r="H24" i="2"/>
  <c r="H22" i="2"/>
  <c r="I21" i="2"/>
  <c r="I2" i="2"/>
  <c r="H20" i="2"/>
  <c r="H18" i="2"/>
  <c r="H17" i="2"/>
  <c r="H12" i="2"/>
  <c r="H11" i="2"/>
  <c r="H10" i="2"/>
  <c r="H9" i="2"/>
  <c r="H7" i="2"/>
  <c r="H6" i="2"/>
  <c r="H5" i="2"/>
  <c r="H4" i="2"/>
  <c r="H13" i="2" l="1"/>
  <c r="H3" i="2"/>
  <c r="H8" i="2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H19" i="2" l="1"/>
  <c r="H2" i="2"/>
  <c r="H21" i="2" l="1"/>
  <c r="H23" i="2" l="1"/>
  <c r="I23" i="2" s="1"/>
  <c r="H25" i="2" l="1"/>
</calcChain>
</file>

<file path=xl/sharedStrings.xml><?xml version="1.0" encoding="utf-8"?>
<sst xmlns="http://schemas.openxmlformats.org/spreadsheetml/2006/main" count="204" uniqueCount="123">
  <si>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</si>
  <si>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</si>
  <si>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</si>
  <si>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</si>
  <si>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</si>
  <si>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</si>
  <si>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</si>
  <si>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</si>
  <si>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검증</t>
    <phoneticPr fontId="2" type="noConversion"/>
  </si>
  <si>
    <t>보험손익</t>
    <phoneticPr fontId="2" type="noConversion"/>
  </si>
  <si>
    <t>2025.4Q</t>
    <phoneticPr fontId="2" type="noConversion"/>
  </si>
  <si>
    <t>자동차손익</t>
  </si>
  <si>
    <t>일반손익</t>
  </si>
  <si>
    <t>기타영업수익</t>
    <phoneticPr fontId="2" type="noConversion"/>
  </si>
  <si>
    <t>기타사업비용</t>
    <phoneticPr fontId="2" type="noConversion"/>
  </si>
  <si>
    <t>투자손익</t>
    <phoneticPr fontId="2" type="noConversion"/>
  </si>
  <si>
    <t>투자이익</t>
  </si>
  <si>
    <t>보험금융손익</t>
  </si>
  <si>
    <t>영업이익</t>
  </si>
  <si>
    <t>영업외손익</t>
  </si>
  <si>
    <t>세전이익</t>
  </si>
  <si>
    <t>법인세</t>
  </si>
  <si>
    <t>당기순이익</t>
  </si>
  <si>
    <t>　　기타사업비용</t>
  </si>
  <si>
    <t>투자손익</t>
  </si>
  <si>
    <t>　　이자수익</t>
  </si>
  <si>
    <t>　　배당금수익</t>
  </si>
  <si>
    <t>　　보험금융비용</t>
  </si>
  <si>
    <t>　　재산관리비</t>
  </si>
  <si>
    <t>　영업외수익</t>
  </si>
  <si>
    <t>　영업외비용</t>
  </si>
  <si>
    <t>법인세비용</t>
  </si>
  <si>
    <t>총포괄손익</t>
  </si>
  <si>
    <t>주당이익</t>
  </si>
  <si>
    <t>생명보험</t>
    <phoneticPr fontId="2" type="noConversion"/>
  </si>
  <si>
    <t>　　재보험금융비용</t>
  </si>
  <si>
    <t>　　이자비용</t>
  </si>
  <si>
    <t>법인세비용차감전순이익</t>
  </si>
  <si>
    <t>　후속적으로 당기손익으로 재분류될 수 있는 포괄손익</t>
  </si>
  <si>
    <t>　후속적으로 당기손익으로 재분류되지 않는 포괄손익</t>
  </si>
  <si>
    <t>당기</t>
  </si>
  <si>
    <t>(단위 : 백만원)</t>
  </si>
  <si>
    <t>전기</t>
  </si>
  <si>
    <t>생명장기 손익</t>
    <phoneticPr fontId="2" type="noConversion"/>
  </si>
  <si>
    <t>생명장기 원수손익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</si>
  <si>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</si>
  <si>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</si>
  <si>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</si>
  <si>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</si>
  <si>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생명장기 재보험손익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</si>
  <si>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</si>
  <si>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</si>
  <si>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</si>
  <si>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</si>
  <si>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제 14 기</t>
  </si>
  <si>
    <t>제 13 기</t>
  </si>
  <si>
    <t>제 12 기</t>
  </si>
  <si>
    <t>보험손익</t>
  </si>
  <si>
    <t>　보험영업수익</t>
  </si>
  <si>
    <t>　　보험수익</t>
  </si>
  <si>
    <t>　　재보험수익</t>
  </si>
  <si>
    <t>　보험영업비용</t>
  </si>
  <si>
    <t>　　보험서비스비용</t>
  </si>
  <si>
    <t>　　재보험비용</t>
  </si>
  <si>
    <t>　투자영업수익</t>
  </si>
  <si>
    <t>　　　유효이자율법 적용 이자수익</t>
  </si>
  <si>
    <t>　　　당기손익-공정가치측정금융자산이자수익</t>
  </si>
  <si>
    <t>　　당기손익-공정가치측정금융상품관련이익</t>
  </si>
  <si>
    <t>　　기타포괄손익-공정가치측정금융상품관련이익</t>
  </si>
  <si>
    <t>　　상각후원가측정금융상품관련이익</t>
  </si>
  <si>
    <t>　　외화거래이익</t>
  </si>
  <si>
    <t>　　파생상품관련수익</t>
  </si>
  <si>
    <t>　　신용손실충당금 환입액</t>
  </si>
  <si>
    <t>　　기타투자수익</t>
  </si>
  <si>
    <t>　투자영업비용</t>
  </si>
  <si>
    <t>　　당기손익-공정가치측정금융상품관련손실</t>
  </si>
  <si>
    <t>　　기타포괄손익-공정가치측정금융상품관련손실</t>
  </si>
  <si>
    <t>　　상각후원가측정금융상품관련손실</t>
  </si>
  <si>
    <t>　　외화거래손실</t>
  </si>
  <si>
    <t>　　파생상품관련비용</t>
  </si>
  <si>
    <t>　　신용손실충당금 전입액</t>
  </si>
  <si>
    <t>　　기타투자비용</t>
  </si>
  <si>
    <t>　지배기업지분순이익</t>
  </si>
  <si>
    <t>　비지배기업지분순이익</t>
  </si>
  <si>
    <t>기타포괄손익</t>
  </si>
  <si>
    <t>　　확정급여제도의재측정요소</t>
  </si>
  <si>
    <t>　　기타포괄손익-공정가치측정금융자산평가손익</t>
  </si>
  <si>
    <t>　　기타포괄손익-공정가치측정금융자산관련손익</t>
  </si>
  <si>
    <t>　　기타포괄손익-공정가치측정 신용손실</t>
  </si>
  <si>
    <t>　　현금흐름위험회피파생상품평가손익</t>
  </si>
  <si>
    <t>　　보험계약자산(부채)순금융손익</t>
  </si>
  <si>
    <t>　　재보험계약자산(부채)순금융손익</t>
  </si>
  <si>
    <t>　지배기업지분포괄손익</t>
  </si>
  <si>
    <t>　비지배지분포괄손익</t>
  </si>
  <si>
    <t>　기본주당순이익 (단위 : 원)</t>
  </si>
  <si>
    <t>　희석주당순이익 (단위 : 원)</t>
  </si>
  <si>
    <t>24. 보험계약관련손익의 내역</t>
  </si>
  <si>
    <t>(1) 당기 및 전기 중 보험손익의 내역은 다음과 같습니다.</t>
  </si>
  <si>
    <t>구분</t>
  </si>
  <si>
    <t>보험수익</t>
  </si>
  <si>
    <t>위험조정 변동</t>
  </si>
  <si>
    <t>보험계약마진 상각</t>
  </si>
  <si>
    <t>보험취득현금흐름 상각</t>
  </si>
  <si>
    <t>손실요소배분</t>
  </si>
  <si>
    <t>보험료배분접근법 보험수익</t>
  </si>
  <si>
    <t>소  계</t>
  </si>
  <si>
    <t>재보험수익</t>
  </si>
  <si>
    <t>발생재보험금</t>
  </si>
  <si>
    <t>손실회수요소 발생 및 환입</t>
  </si>
  <si>
    <t>손실회수요소배분</t>
  </si>
  <si>
    <t>발생사고요소 조정</t>
  </si>
  <si>
    <t>기타재보험수익</t>
  </si>
  <si>
    <t>보험서비스비용</t>
  </si>
  <si>
    <t>손실요소 인식 및 환입</t>
  </si>
  <si>
    <t>보험취득현금흐름 상각액</t>
  </si>
  <si>
    <t>재보험비용</t>
  </si>
  <si>
    <t>회수예상보험금</t>
  </si>
  <si>
    <t>기타재보험비용</t>
  </si>
  <si>
    <t>기타사업비용</t>
  </si>
  <si>
    <t>예상보험금 및 기타보험 서비스비용</t>
    <phoneticPr fontId="2" type="noConversion"/>
  </si>
  <si>
    <t>발생보험금 및 기타보험 서비스비용</t>
    <phoneticPr fontId="2" type="noConversion"/>
  </si>
  <si>
    <t>보험료배분접근법 보험서비스비용</t>
    <phoneticPr fontId="2" type="noConversion"/>
  </si>
  <si>
    <t>농협생명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</si>
</sst>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2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3" fontId="3" fillId="0" borderId="0" xfId="0" applyNumberFormat="1" applyFon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4" fontId="1" fillId="0" borderId="3" xfId="0" applyNumberFormat="1" applyFont="1" applyBorder="1" applyAlignment="1">
      <alignment horizontal="right" vertical="center" wrapText="1"/>
    </xf>
    <xf numFmtId="4" fontId="1" fillId="0" borderId="5" xfId="0" applyNumberFormat="1" applyFont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0" fontId="4" fillId="0" borderId="0" xfId="0" applyFont="1">
      <alignment vertical="center"/>
    </xf>
    <xf numFmtId="3" fontId="1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1" fillId="0" borderId="0" xfId="0" applyFont="1" applyAlignment="1">
      <alignment horizontal="right" vertical="top" wrapText="1"/>
    </xf>
    <xf numFmtId="0" fontId="1" fillId="0" borderId="14" xfId="0" applyFont="1" applyBorder="1" applyAlignment="1">
      <alignment vertical="center" wrapText="1"/>
    </xf>
    <xf numFmtId="3" fontId="1" fillId="0" borderId="14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 vertical="center" wrapText="1"/>
    </xf>
    <xf numFmtId="3" fontId="1" fillId="0" borderId="17" xfId="0" applyNumberFormat="1" applyFont="1" applyBorder="1" applyAlignment="1">
      <alignment horizontal="right" vertical="center" wrapText="1"/>
    </xf>
    <xf numFmtId="0" fontId="1" fillId="0" borderId="17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I25"/>
  <sheetViews>
    <sheetView tabSelected="1" zoomScale="70" zoomScaleNormal="70" workbookViewId="0"/>
  </sheetViews>
  <sheetFormatPr defaultRowHeight="16.899999999999999" x14ac:dyDescent="0.6"/>
  <cols>
    <col min="6" max="6" width="17.3125" bestFit="1" customWidth="1"/>
    <col min="8" max="8" width="15.1875" bestFit="1" customWidth="1"/>
  </cols>
  <sheetData>
    <row r="1" spans="1:9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6">
      <c r="A2" s="2"/>
      <c r="B2" s="2" t="s">
        <v>122</v>
      </c>
      <c r="C2" s="2"/>
      <c r="D2" s="2" t="s">
        <v>34</v>
      </c>
      <c r="E2" s="2">
        <v>1</v>
      </c>
      <c r="F2" t="s">
        <v>9</v>
      </c>
      <c r="G2" s="2" t="s">
        <v>10</v>
      </c>
      <c r="H2" s="1">
        <f>H3+H14+H15+H16-H17</f>
        <v>389177.26221100002</v>
      </c>
      <c r="I2" t="b">
        <f>ROUND(H2,0)=ROUND(포괄손익계산서!B2/1000000,0)</f>
        <v>1</v>
      </c>
    </row>
    <row r="3" spans="1:9" x14ac:dyDescent="0.6">
      <c r="A3" s="2"/>
      <c r="B3" s="2" t="s">
        <v>122</v>
      </c>
      <c r="C3" s="2"/>
      <c r="D3" s="2" t="s">
        <v>34</v>
      </c>
      <c r="E3">
        <f t="shared" ref="E3:E6" si="0">E2+1</f>
        <v>2</v>
      </c>
      <c r="F3" t="s">
        <v>43</v>
      </c>
      <c r="G3" t="s">
        <v>10</v>
      </c>
      <c r="H3" s="1">
        <f>H4+H9</f>
        <v>441926</v>
      </c>
    </row>
    <row r="4" spans="1:9" x14ac:dyDescent="0.6">
      <c r="A4" s="2"/>
      <c r="B4" s="2" t="s">
        <v>122</v>
      </c>
      <c r="C4" s="2"/>
      <c r="D4" s="2" t="s">
        <v>34</v>
      </c>
      <c r="E4">
        <f t="shared" si="0"/>
        <v>3</v>
      </c>
      <c r="F4" t="s">
        <v>44</v>
      </c>
      <c r="G4" t="s">
        <v>10</v>
      </c>
      <c r="H4" s="1">
        <f>부문별!C13-부문별!C26</f>
        <v>442578</v>
      </c>
    </row>
    <row r="5" spans="1:9" x14ac:dyDescent="0.6">
      <c r="A5" s="2"/>
      <c r="B5" s="2" t="s">
        <v>122</v>
      </c>
      <c r="C5" s="2"/>
      <c r="D5" s="2" t="s">
        <v>34</v>
      </c>
      <c r="E5">
        <f t="shared" si="0"/>
        <v>4</v>
      </c>
      <c r="F5" t="s">
        <v>45</v>
      </c>
      <c r="G5" t="s">
        <v>10</v>
      </c>
      <c r="H5" s="3">
        <f>부문별!C9</f>
        <v>401662</v>
      </c>
    </row>
    <row r="6" spans="1:9" x14ac:dyDescent="0.6">
      <c r="A6" s="2"/>
      <c r="B6" s="2" t="s">
        <v>122</v>
      </c>
      <c r="C6" s="2"/>
      <c r="D6" s="2" t="s">
        <v>34</v>
      </c>
      <c r="E6">
        <f t="shared" si="0"/>
        <v>5</v>
      </c>
      <c r="F6" t="s">
        <v>46</v>
      </c>
      <c r="G6" t="s">
        <v>10</v>
      </c>
      <c r="H6" s="3">
        <f>부문별!C8</f>
        <v>42623</v>
      </c>
    </row>
    <row r="7" spans="1:9" x14ac:dyDescent="0.6">
      <c r="A7" s="2"/>
      <c r="B7" s="2" t="s">
        <v>122</v>
      </c>
      <c r="C7" s="2"/>
      <c r="D7" s="2" t="s">
        <v>34</v>
      </c>
      <c r="E7">
        <f t="shared" ref="E7:E25" si="1">E6+1</f>
        <v>6</v>
      </c>
      <c r="F7" t="s">
        <v>47</v>
      </c>
      <c r="G7" t="s">
        <v>10</v>
      </c>
      <c r="H7" s="1">
        <f>부문별!C7-부문별!C20</f>
        <v>61554</v>
      </c>
    </row>
    <row r="8" spans="1:9" x14ac:dyDescent="0.6">
      <c r="A8" s="2"/>
      <c r="B8" s="2" t="s">
        <v>122</v>
      </c>
      <c r="C8" s="2"/>
      <c r="D8" s="2" t="s">
        <v>34</v>
      </c>
      <c r="E8">
        <f t="shared" si="1"/>
        <v>7</v>
      </c>
      <c r="F8" t="s">
        <v>48</v>
      </c>
      <c r="G8" t="s">
        <v>10</v>
      </c>
      <c r="H8" s="1">
        <f>H4-SUM(H5:H7)</f>
        <v>-63261</v>
      </c>
    </row>
    <row r="9" spans="1:9" x14ac:dyDescent="0.6">
      <c r="A9" s="2"/>
      <c r="B9" s="2" t="s">
        <v>122</v>
      </c>
      <c r="C9" s="2"/>
      <c r="D9" s="2" t="s">
        <v>34</v>
      </c>
      <c r="E9">
        <f t="shared" si="1"/>
        <v>8</v>
      </c>
      <c r="F9" t="s">
        <v>49</v>
      </c>
      <c r="G9" t="s">
        <v>10</v>
      </c>
      <c r="H9" s="1">
        <f>부문별!C19-부문별!C32</f>
        <v>-652</v>
      </c>
    </row>
    <row r="10" spans="1:9" x14ac:dyDescent="0.6">
      <c r="A10" s="2"/>
      <c r="B10" s="2" t="s">
        <v>122</v>
      </c>
      <c r="C10" s="2"/>
      <c r="D10" s="2" t="s">
        <v>34</v>
      </c>
      <c r="E10">
        <f t="shared" si="1"/>
        <v>9</v>
      </c>
      <c r="F10" t="s">
        <v>50</v>
      </c>
      <c r="G10" t="s">
        <v>10</v>
      </c>
      <c r="H10" s="1">
        <f>-부문별!C29</f>
        <v>-2009</v>
      </c>
    </row>
    <row r="11" spans="1:9" x14ac:dyDescent="0.6">
      <c r="A11" s="2"/>
      <c r="B11" s="2" t="s">
        <v>122</v>
      </c>
      <c r="C11" s="2"/>
      <c r="D11" s="2" t="s">
        <v>34</v>
      </c>
      <c r="E11">
        <f t="shared" si="1"/>
        <v>10</v>
      </c>
      <c r="F11" t="s">
        <v>51</v>
      </c>
      <c r="G11" t="s">
        <v>10</v>
      </c>
      <c r="H11" s="1">
        <f>-부문별!C28</f>
        <v>-263</v>
      </c>
    </row>
    <row r="12" spans="1:9" x14ac:dyDescent="0.6">
      <c r="A12" s="2"/>
      <c r="B12" s="2" t="s">
        <v>122</v>
      </c>
      <c r="C12" s="2"/>
      <c r="D12" s="2" t="s">
        <v>34</v>
      </c>
      <c r="E12">
        <f t="shared" si="1"/>
        <v>11</v>
      </c>
      <c r="F12" t="s">
        <v>52</v>
      </c>
      <c r="G12" t="s">
        <v>10</v>
      </c>
      <c r="H12" s="1">
        <f>부문별!C14-부문별!C27</f>
        <v>534</v>
      </c>
    </row>
    <row r="13" spans="1:9" x14ac:dyDescent="0.6">
      <c r="A13" s="2"/>
      <c r="B13" s="2" t="s">
        <v>122</v>
      </c>
      <c r="C13" s="2"/>
      <c r="D13" s="2" t="s">
        <v>34</v>
      </c>
      <c r="E13">
        <f t="shared" si="1"/>
        <v>12</v>
      </c>
      <c r="F13" t="s">
        <v>53</v>
      </c>
      <c r="G13" t="s">
        <v>10</v>
      </c>
      <c r="H13" s="1">
        <f>H9-SUM(H10:H12)</f>
        <v>1086</v>
      </c>
    </row>
    <row r="14" spans="1:9" x14ac:dyDescent="0.6">
      <c r="A14" s="2"/>
      <c r="B14" s="2" t="s">
        <v>122</v>
      </c>
      <c r="C14" s="2"/>
      <c r="D14" s="2" t="s">
        <v>34</v>
      </c>
      <c r="E14">
        <f t="shared" si="1"/>
        <v>13</v>
      </c>
      <c r="F14" t="s">
        <v>11</v>
      </c>
      <c r="G14" t="s">
        <v>10</v>
      </c>
      <c r="H14" s="1">
        <v>0</v>
      </c>
    </row>
    <row r="15" spans="1:9" x14ac:dyDescent="0.6">
      <c r="A15" s="2"/>
      <c r="B15" s="2" t="s">
        <v>122</v>
      </c>
      <c r="C15" s="2"/>
      <c r="D15" s="2" t="s">
        <v>34</v>
      </c>
      <c r="E15">
        <f t="shared" si="1"/>
        <v>14</v>
      </c>
      <c r="F15" t="s">
        <v>12</v>
      </c>
      <c r="G15" t="s">
        <v>10</v>
      </c>
      <c r="H15" s="1">
        <v>0</v>
      </c>
    </row>
    <row r="16" spans="1:9" x14ac:dyDescent="0.6">
      <c r="A16" s="2"/>
      <c r="B16" s="2" t="s">
        <v>122</v>
      </c>
      <c r="C16" s="2"/>
      <c r="D16" s="2" t="s">
        <v>34</v>
      </c>
      <c r="E16">
        <f t="shared" si="1"/>
        <v>15</v>
      </c>
      <c r="F16" t="s">
        <v>13</v>
      </c>
      <c r="G16" t="s">
        <v>10</v>
      </c>
      <c r="H16" s="1">
        <v>0</v>
      </c>
    </row>
    <row r="17" spans="1:9" x14ac:dyDescent="0.6">
      <c r="A17" s="2"/>
      <c r="B17" s="2" t="s">
        <v>122</v>
      </c>
      <c r="C17" s="2"/>
      <c r="D17" s="2" t="s">
        <v>34</v>
      </c>
      <c r="E17">
        <f t="shared" si="1"/>
        <v>16</v>
      </c>
      <c r="F17" t="s">
        <v>14</v>
      </c>
      <c r="G17" t="s">
        <v>10</v>
      </c>
      <c r="H17" s="1">
        <f>포괄손익계산서!B9/1000000</f>
        <v>52748.737788999999</v>
      </c>
    </row>
    <row r="18" spans="1:9" x14ac:dyDescent="0.6">
      <c r="A18" s="2"/>
      <c r="B18" s="2" t="s">
        <v>122</v>
      </c>
      <c r="C18" s="2"/>
      <c r="D18" s="2" t="s">
        <v>34</v>
      </c>
      <c r="E18">
        <f t="shared" si="1"/>
        <v>17</v>
      </c>
      <c r="F18" t="s">
        <v>15</v>
      </c>
      <c r="G18" t="s">
        <v>10</v>
      </c>
      <c r="H18" s="1">
        <f>포괄손익계산서!B10/1000000</f>
        <v>64906.601041000002</v>
      </c>
    </row>
    <row r="19" spans="1:9" x14ac:dyDescent="0.6">
      <c r="A19" s="2"/>
      <c r="B19" s="2" t="s">
        <v>122</v>
      </c>
      <c r="C19" s="2"/>
      <c r="D19" s="2" t="s">
        <v>34</v>
      </c>
      <c r="E19">
        <f t="shared" si="1"/>
        <v>18</v>
      </c>
      <c r="F19" t="s">
        <v>16</v>
      </c>
      <c r="G19" t="s">
        <v>10</v>
      </c>
      <c r="H19" s="1">
        <f>H18-H20</f>
        <v>1559879.3519860001</v>
      </c>
    </row>
    <row r="20" spans="1:9" x14ac:dyDescent="0.6">
      <c r="A20" s="2"/>
      <c r="B20" s="2" t="s">
        <v>122</v>
      </c>
      <c r="C20" s="2"/>
      <c r="D20" s="2" t="s">
        <v>34</v>
      </c>
      <c r="E20">
        <f t="shared" si="1"/>
        <v>19</v>
      </c>
      <c r="F20" t="s">
        <v>17</v>
      </c>
      <c r="G20" t="s">
        <v>10</v>
      </c>
      <c r="H20" s="1">
        <f>(-포괄손익계산서!B24)/1000000</f>
        <v>-1494972.750945</v>
      </c>
    </row>
    <row r="21" spans="1:9" x14ac:dyDescent="0.6">
      <c r="A21" s="2"/>
      <c r="B21" s="2" t="s">
        <v>122</v>
      </c>
      <c r="C21" s="2"/>
      <c r="D21" s="2" t="s">
        <v>34</v>
      </c>
      <c r="E21">
        <f t="shared" si="1"/>
        <v>20</v>
      </c>
      <c r="F21" t="s">
        <v>18</v>
      </c>
      <c r="G21" t="s">
        <v>10</v>
      </c>
      <c r="H21" s="1">
        <f>H2+H18</f>
        <v>454083.86325200001</v>
      </c>
      <c r="I21" t="b">
        <f>ROUND(H21,0)=ROUND(포괄손익계산서!B35/1000000,0)</f>
        <v>1</v>
      </c>
    </row>
    <row r="22" spans="1:9" x14ac:dyDescent="0.6">
      <c r="A22" s="2"/>
      <c r="B22" s="2" t="s">
        <v>122</v>
      </c>
      <c r="C22" s="2"/>
      <c r="D22" s="2" t="s">
        <v>34</v>
      </c>
      <c r="E22">
        <f t="shared" si="1"/>
        <v>21</v>
      </c>
      <c r="F22" t="s">
        <v>19</v>
      </c>
      <c r="G22" t="s">
        <v>10</v>
      </c>
      <c r="H22" s="1">
        <f>포괄손익계산서!B36/1000000</f>
        <v>-130129.808601</v>
      </c>
    </row>
    <row r="23" spans="1:9" x14ac:dyDescent="0.6">
      <c r="A23" s="2"/>
      <c r="B23" s="2" t="s">
        <v>122</v>
      </c>
      <c r="C23" s="2"/>
      <c r="D23" s="2" t="s">
        <v>34</v>
      </c>
      <c r="E23">
        <f t="shared" si="1"/>
        <v>22</v>
      </c>
      <c r="F23" t="s">
        <v>20</v>
      </c>
      <c r="G23" t="s">
        <v>10</v>
      </c>
      <c r="H23" s="1">
        <f>H21+H22</f>
        <v>323954.05465100001</v>
      </c>
      <c r="I23" t="b">
        <f>ROUND(H23,0)=ROUND(포괄손익계산서!B39/1000000,0)</f>
        <v>1</v>
      </c>
    </row>
    <row r="24" spans="1:9" x14ac:dyDescent="0.6">
      <c r="A24" s="2"/>
      <c r="B24" s="2" t="s">
        <v>122</v>
      </c>
      <c r="C24" s="2"/>
      <c r="D24" s="2" t="s">
        <v>34</v>
      </c>
      <c r="E24">
        <f t="shared" si="1"/>
        <v>23</v>
      </c>
      <c r="F24" t="s">
        <v>21</v>
      </c>
      <c r="G24" t="s">
        <v>10</v>
      </c>
      <c r="H24" s="1">
        <f>포괄손익계산서!B40/1000000</f>
        <v>108405.294994</v>
      </c>
    </row>
    <row r="25" spans="1:9" x14ac:dyDescent="0.6">
      <c r="A25" s="2"/>
      <c r="B25" s="2" t="s">
        <v>122</v>
      </c>
      <c r="C25" s="2"/>
      <c r="D25" s="2" t="s">
        <v>34</v>
      </c>
      <c r="E25">
        <f t="shared" si="1"/>
        <v>24</v>
      </c>
      <c r="F25" t="s">
        <v>22</v>
      </c>
      <c r="G25" t="s">
        <v>10</v>
      </c>
      <c r="H25" s="1">
        <f>H23-H24</f>
        <v>215548.75965700002</v>
      </c>
      <c r="I25" t="b">
        <f>ROUND(H25,0)=ROUND(포괄손익계산서!B41/1000000,0)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2:D58"/>
  <sheetViews>
    <sheetView topLeftCell="A3" zoomScale="115" zoomScaleNormal="55" workbookViewId="0">
      <selection activeCell="F11" sqref="F11"/>
    </sheetView>
  </sheetViews>
  <sheetFormatPr defaultRowHeight="16.899999999999999" x14ac:dyDescent="0.6"/>
  <cols>
    <col min="1" max="1" width="8.8125" bestFit="1" customWidth="1"/>
    <col min="2" max="2" width="13.25" bestFit="1" customWidth="1"/>
    <col min="3" max="4" width="9.8125" bestFit="1" customWidth="1"/>
  </cols>
  <sheetData>
    <row r="2" spans="1:4" ht="63" x14ac:dyDescent="0.6">
      <c r="A2" s="21" t="s">
        <v>96</v>
      </c>
    </row>
    <row r="3" spans="1:4" x14ac:dyDescent="0.6">
      <c r="A3" s="20"/>
    </row>
    <row r="4" spans="1:4" ht="27" customHeight="1" x14ac:dyDescent="0.6">
      <c r="A4" s="21" t="s">
        <v>97</v>
      </c>
    </row>
    <row r="5" spans="1:4" ht="27" x14ac:dyDescent="0.6">
      <c r="A5" s="22" t="s">
        <v>41</v>
      </c>
    </row>
    <row r="6" spans="1:4" x14ac:dyDescent="0.6">
      <c r="A6" s="31" t="s">
        <v>98</v>
      </c>
      <c r="B6" s="32"/>
      <c r="C6" s="6" t="s">
        <v>40</v>
      </c>
      <c r="D6" s="7" t="s">
        <v>42</v>
      </c>
    </row>
    <row r="7" spans="1:4" ht="40.5" x14ac:dyDescent="0.6">
      <c r="A7" s="33" t="s">
        <v>99</v>
      </c>
      <c r="B7" s="23" t="s">
        <v>119</v>
      </c>
      <c r="C7" s="24">
        <v>974151</v>
      </c>
      <c r="D7" s="27">
        <v>945600</v>
      </c>
    </row>
    <row r="8" spans="1:4" x14ac:dyDescent="0.6">
      <c r="A8" s="34"/>
      <c r="B8" s="19" t="s">
        <v>100</v>
      </c>
      <c r="C8" s="4">
        <v>42623</v>
      </c>
      <c r="D8" s="12">
        <v>48321</v>
      </c>
    </row>
    <row r="9" spans="1:4" ht="27" x14ac:dyDescent="0.6">
      <c r="A9" s="34"/>
      <c r="B9" s="19" t="s">
        <v>101</v>
      </c>
      <c r="C9" s="4">
        <v>401662</v>
      </c>
      <c r="D9" s="12">
        <v>420176</v>
      </c>
    </row>
    <row r="10" spans="1:4" ht="27" x14ac:dyDescent="0.6">
      <c r="A10" s="34"/>
      <c r="B10" s="19" t="s">
        <v>102</v>
      </c>
      <c r="C10" s="4">
        <v>196838</v>
      </c>
      <c r="D10" s="12">
        <v>180875</v>
      </c>
    </row>
    <row r="11" spans="1:4" x14ac:dyDescent="0.6">
      <c r="A11" s="34"/>
      <c r="B11" s="19" t="s">
        <v>103</v>
      </c>
      <c r="C11" s="4">
        <v>-22898</v>
      </c>
      <c r="D11" s="12">
        <v>-13537</v>
      </c>
    </row>
    <row r="12" spans="1:4" ht="27" x14ac:dyDescent="0.6">
      <c r="A12" s="34"/>
      <c r="B12" s="19" t="s">
        <v>104</v>
      </c>
      <c r="C12" s="4">
        <v>1858</v>
      </c>
      <c r="D12" s="13">
        <v>98</v>
      </c>
    </row>
    <row r="13" spans="1:4" x14ac:dyDescent="0.6">
      <c r="A13" s="35"/>
      <c r="B13" s="25" t="s">
        <v>105</v>
      </c>
      <c r="C13" s="4">
        <v>1594234</v>
      </c>
      <c r="D13" s="12">
        <v>1581533</v>
      </c>
    </row>
    <row r="14" spans="1:4" x14ac:dyDescent="0.6">
      <c r="A14" s="33" t="s">
        <v>106</v>
      </c>
      <c r="B14" s="19" t="s">
        <v>107</v>
      </c>
      <c r="C14" s="4">
        <v>14279</v>
      </c>
      <c r="D14" s="12">
        <v>13469</v>
      </c>
    </row>
    <row r="15" spans="1:4" ht="27" x14ac:dyDescent="0.6">
      <c r="A15" s="34"/>
      <c r="B15" s="19" t="s">
        <v>108</v>
      </c>
      <c r="C15" s="4">
        <v>1847</v>
      </c>
      <c r="D15" s="12">
        <v>1284</v>
      </c>
    </row>
    <row r="16" spans="1:4" ht="27" x14ac:dyDescent="0.6">
      <c r="A16" s="34"/>
      <c r="B16" s="19" t="s">
        <v>109</v>
      </c>
      <c r="C16" s="9">
        <v>-975</v>
      </c>
      <c r="D16" s="13">
        <v>-550</v>
      </c>
    </row>
    <row r="17" spans="1:4" ht="27" x14ac:dyDescent="0.6">
      <c r="A17" s="34"/>
      <c r="B17" s="19" t="s">
        <v>110</v>
      </c>
      <c r="C17" s="9">
        <v>-93</v>
      </c>
      <c r="D17" s="12">
        <v>-1720</v>
      </c>
    </row>
    <row r="18" spans="1:4" ht="27" x14ac:dyDescent="0.6">
      <c r="A18" s="34"/>
      <c r="B18" s="19" t="s">
        <v>111</v>
      </c>
      <c r="C18" s="9">
        <v>482</v>
      </c>
      <c r="D18" s="13">
        <v>631</v>
      </c>
    </row>
    <row r="19" spans="1:4" x14ac:dyDescent="0.6">
      <c r="A19" s="35"/>
      <c r="B19" s="25" t="s">
        <v>105</v>
      </c>
      <c r="C19" s="4">
        <v>15540</v>
      </c>
      <c r="D19" s="12">
        <v>13114</v>
      </c>
    </row>
    <row r="20" spans="1:4" ht="40.5" x14ac:dyDescent="0.6">
      <c r="A20" s="33" t="s">
        <v>112</v>
      </c>
      <c r="B20" s="23" t="s">
        <v>120</v>
      </c>
      <c r="C20" s="24">
        <v>912597</v>
      </c>
      <c r="D20" s="27">
        <v>802155</v>
      </c>
    </row>
    <row r="21" spans="1:4" ht="27" x14ac:dyDescent="0.6">
      <c r="A21" s="34"/>
      <c r="B21" s="19" t="s">
        <v>113</v>
      </c>
      <c r="C21" s="4">
        <v>61076</v>
      </c>
      <c r="D21" s="12">
        <v>32669</v>
      </c>
    </row>
    <row r="22" spans="1:4" ht="27" customHeight="1" x14ac:dyDescent="0.6">
      <c r="A22" s="34"/>
      <c r="B22" s="19" t="s">
        <v>114</v>
      </c>
      <c r="C22" s="4">
        <v>196838</v>
      </c>
      <c r="D22" s="12">
        <v>180875</v>
      </c>
    </row>
    <row r="23" spans="1:4" ht="27" x14ac:dyDescent="0.6">
      <c r="A23" s="34"/>
      <c r="B23" s="19" t="s">
        <v>110</v>
      </c>
      <c r="C23" s="4">
        <v>3125</v>
      </c>
      <c r="D23" s="13">
        <v>70</v>
      </c>
    </row>
    <row r="24" spans="1:4" x14ac:dyDescent="0.6">
      <c r="A24" s="34"/>
      <c r="B24" s="19" t="s">
        <v>103</v>
      </c>
      <c r="C24" s="4">
        <v>-22898</v>
      </c>
      <c r="D24" s="12">
        <v>-13538</v>
      </c>
    </row>
    <row r="25" spans="1:4" ht="40.5" x14ac:dyDescent="0.6">
      <c r="A25" s="34"/>
      <c r="B25" s="23" t="s">
        <v>121</v>
      </c>
      <c r="C25" s="26">
        <v>918</v>
      </c>
      <c r="D25" s="28">
        <v>64</v>
      </c>
    </row>
    <row r="26" spans="1:4" x14ac:dyDescent="0.6">
      <c r="A26" s="35"/>
      <c r="B26" s="25" t="s">
        <v>105</v>
      </c>
      <c r="C26" s="4">
        <v>1151656</v>
      </c>
      <c r="D26" s="12">
        <v>1002295</v>
      </c>
    </row>
    <row r="27" spans="1:4" ht="27" x14ac:dyDescent="0.6">
      <c r="A27" s="33" t="s">
        <v>115</v>
      </c>
      <c r="B27" s="19" t="s">
        <v>116</v>
      </c>
      <c r="C27" s="4">
        <v>13745</v>
      </c>
      <c r="D27" s="12">
        <v>9602</v>
      </c>
    </row>
    <row r="28" spans="1:4" x14ac:dyDescent="0.6">
      <c r="A28" s="34"/>
      <c r="B28" s="19" t="s">
        <v>100</v>
      </c>
      <c r="C28" s="9">
        <v>263</v>
      </c>
      <c r="D28" s="13">
        <v>244</v>
      </c>
    </row>
    <row r="29" spans="1:4" ht="27" x14ac:dyDescent="0.6">
      <c r="A29" s="34"/>
      <c r="B29" s="19" t="s">
        <v>101</v>
      </c>
      <c r="C29" s="4">
        <v>2009</v>
      </c>
      <c r="D29" s="12">
        <v>3040</v>
      </c>
    </row>
    <row r="30" spans="1:4" ht="27" x14ac:dyDescent="0.6">
      <c r="A30" s="34"/>
      <c r="B30" s="19" t="s">
        <v>109</v>
      </c>
      <c r="C30" s="9">
        <v>-976</v>
      </c>
      <c r="D30" s="13">
        <v>-549</v>
      </c>
    </row>
    <row r="31" spans="1:4" ht="27" x14ac:dyDescent="0.6">
      <c r="A31" s="34"/>
      <c r="B31" s="19" t="s">
        <v>117</v>
      </c>
      <c r="C31" s="4">
        <v>1151</v>
      </c>
      <c r="D31" s="12">
        <v>1842</v>
      </c>
    </row>
    <row r="32" spans="1:4" x14ac:dyDescent="0.6">
      <c r="A32" s="35"/>
      <c r="B32" s="25" t="s">
        <v>105</v>
      </c>
      <c r="C32" s="4">
        <v>16192</v>
      </c>
      <c r="D32" s="12">
        <v>14179</v>
      </c>
    </row>
    <row r="33" spans="1:4" x14ac:dyDescent="0.6">
      <c r="A33" s="36" t="s">
        <v>118</v>
      </c>
      <c r="B33" s="37"/>
      <c r="C33" s="4">
        <v>52749</v>
      </c>
      <c r="D33" s="12">
        <v>56715</v>
      </c>
    </row>
    <row r="34" spans="1:4" x14ac:dyDescent="0.6">
      <c r="A34" s="38" t="s">
        <v>57</v>
      </c>
      <c r="B34" s="39"/>
      <c r="C34" s="29">
        <v>389177</v>
      </c>
      <c r="D34" s="30">
        <v>521458</v>
      </c>
    </row>
    <row r="58" ht="27" customHeight="1" x14ac:dyDescent="0.6"/>
  </sheetData>
  <mergeCells count="7">
    <mergeCell ref="A27:A32"/>
    <mergeCell ref="A33:B33"/>
    <mergeCell ref="A34:B34"/>
    <mergeCell ref="A20:A26"/>
    <mergeCell ref="A6:B6"/>
    <mergeCell ref="A7:A13"/>
    <mergeCell ref="A14:A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EC7-CE9B-417C-8843-1A1AB8BC1846}">
  <dimension ref="A1:F59"/>
  <sheetViews>
    <sheetView zoomScale="70" zoomScaleNormal="70" workbookViewId="0">
      <pane xSplit="1" ySplit="1" topLeftCell="B33" activePane="bottomRight" state="frozen"/>
      <selection pane="topRight" activeCell="B1" sqref="B1"/>
      <selection pane="bottomLeft" activeCell="A2" sqref="A2"/>
      <selection pane="bottomRight" activeCell="A39" sqref="A39"/>
    </sheetView>
  </sheetViews>
  <sheetFormatPr defaultRowHeight="16.899999999999999" x14ac:dyDescent="0.6"/>
  <cols>
    <col min="1" max="1" width="44.625" bestFit="1" customWidth="1"/>
    <col min="2" max="2" width="17.375" bestFit="1" customWidth="1"/>
    <col min="3" max="4" width="16.625" bestFit="1" customWidth="1"/>
    <col min="6" max="8" width="10.9375" bestFit="1" customWidth="1"/>
  </cols>
  <sheetData>
    <row r="1" spans="1:6" x14ac:dyDescent="0.6">
      <c r="A1" s="5"/>
      <c r="B1" s="6" t="s">
        <v>54</v>
      </c>
      <c r="C1" s="6" t="s">
        <v>55</v>
      </c>
      <c r="D1" s="7" t="s">
        <v>56</v>
      </c>
    </row>
    <row r="2" spans="1:6" x14ac:dyDescent="0.6">
      <c r="A2" s="11" t="s">
        <v>57</v>
      </c>
      <c r="B2" s="4">
        <v>389177046593</v>
      </c>
      <c r="C2" s="4">
        <v>521457538429</v>
      </c>
      <c r="D2" s="12">
        <v>331041488735</v>
      </c>
      <c r="F2" s="18"/>
    </row>
    <row r="3" spans="1:6" x14ac:dyDescent="0.6">
      <c r="A3" s="11" t="s">
        <v>58</v>
      </c>
      <c r="B3" s="4">
        <v>1609773889825</v>
      </c>
      <c r="C3" s="4">
        <v>1594646709231</v>
      </c>
      <c r="D3" s="12">
        <v>1533487930079</v>
      </c>
    </row>
    <row r="4" spans="1:6" x14ac:dyDescent="0.6">
      <c r="A4" s="11" t="s">
        <v>59</v>
      </c>
      <c r="B4" s="4">
        <v>1594234166042</v>
      </c>
      <c r="C4" s="4">
        <v>1581533118100</v>
      </c>
      <c r="D4" s="12">
        <v>1515479715295</v>
      </c>
      <c r="F4" s="1"/>
    </row>
    <row r="5" spans="1:6" x14ac:dyDescent="0.6">
      <c r="A5" s="11" t="s">
        <v>60</v>
      </c>
      <c r="B5" s="4">
        <v>15539723783</v>
      </c>
      <c r="C5" s="4">
        <v>13113591131</v>
      </c>
      <c r="D5" s="12">
        <v>18008214784</v>
      </c>
    </row>
    <row r="6" spans="1:6" x14ac:dyDescent="0.6">
      <c r="A6" s="11" t="s">
        <v>61</v>
      </c>
      <c r="B6" s="4">
        <v>1220596843232</v>
      </c>
      <c r="C6" s="4">
        <v>1073189170802</v>
      </c>
      <c r="D6" s="12">
        <v>1202446441344</v>
      </c>
    </row>
    <row r="7" spans="1:6" x14ac:dyDescent="0.6">
      <c r="A7" s="11" t="s">
        <v>62</v>
      </c>
      <c r="B7" s="4">
        <v>1151656192191</v>
      </c>
      <c r="C7" s="4">
        <v>1002295326485</v>
      </c>
      <c r="D7" s="12">
        <v>1130284961870</v>
      </c>
    </row>
    <row r="8" spans="1:6" x14ac:dyDescent="0.6">
      <c r="A8" s="11" t="s">
        <v>63</v>
      </c>
      <c r="B8" s="4">
        <v>16191913252</v>
      </c>
      <c r="C8" s="4">
        <v>14178820581</v>
      </c>
      <c r="D8" s="12">
        <v>23075694842</v>
      </c>
    </row>
    <row r="9" spans="1:6" x14ac:dyDescent="0.6">
      <c r="A9" s="11" t="s">
        <v>23</v>
      </c>
      <c r="B9" s="4">
        <v>52748737789</v>
      </c>
      <c r="C9" s="4">
        <v>56715023736</v>
      </c>
      <c r="D9" s="12">
        <v>49085784632</v>
      </c>
    </row>
    <row r="10" spans="1:6" x14ac:dyDescent="0.6">
      <c r="A10" s="11" t="s">
        <v>24</v>
      </c>
      <c r="B10" s="4">
        <v>64906601041</v>
      </c>
      <c r="C10" s="4">
        <v>-44190785782</v>
      </c>
      <c r="D10" s="12">
        <v>-22406342556</v>
      </c>
    </row>
    <row r="11" spans="1:6" x14ac:dyDescent="0.6">
      <c r="A11" s="11" t="s">
        <v>64</v>
      </c>
      <c r="B11" s="4">
        <v>2159942856391</v>
      </c>
      <c r="C11" s="4">
        <v>2866292367828</v>
      </c>
      <c r="D11" s="12">
        <v>2197159282194</v>
      </c>
    </row>
    <row r="12" spans="1:6" s="17" customFormat="1" x14ac:dyDescent="0.6">
      <c r="A12" s="11" t="s">
        <v>25</v>
      </c>
      <c r="B12" s="4">
        <v>1398939917855</v>
      </c>
      <c r="C12" s="4">
        <v>1419761482036</v>
      </c>
      <c r="D12" s="12">
        <v>1421661451959</v>
      </c>
    </row>
    <row r="13" spans="1:6" x14ac:dyDescent="0.6">
      <c r="A13" s="11" t="s">
        <v>65</v>
      </c>
      <c r="B13" s="4">
        <v>1390394442818</v>
      </c>
      <c r="C13" s="4">
        <v>1405831432395</v>
      </c>
      <c r="D13" s="12">
        <v>1395799511612</v>
      </c>
    </row>
    <row r="14" spans="1:6" x14ac:dyDescent="0.6">
      <c r="A14" s="11" t="s">
        <v>66</v>
      </c>
      <c r="B14" s="4">
        <v>8545475037</v>
      </c>
      <c r="C14" s="4">
        <v>13930049641</v>
      </c>
      <c r="D14" s="12">
        <v>25861940347</v>
      </c>
    </row>
    <row r="15" spans="1:6" x14ac:dyDescent="0.6">
      <c r="A15" s="11" t="s">
        <v>67</v>
      </c>
      <c r="B15" s="4">
        <v>349941091817</v>
      </c>
      <c r="C15" s="4">
        <v>379996958492</v>
      </c>
      <c r="D15" s="12">
        <v>445687865250</v>
      </c>
    </row>
    <row r="16" spans="1:6" x14ac:dyDescent="0.6">
      <c r="A16" s="11" t="s">
        <v>68</v>
      </c>
      <c r="B16" s="4">
        <v>30129293644</v>
      </c>
      <c r="C16" s="4">
        <v>4742819765</v>
      </c>
      <c r="D16" s="12">
        <v>6118825558</v>
      </c>
    </row>
    <row r="17" spans="1:4" x14ac:dyDescent="0.6">
      <c r="A17" s="11" t="s">
        <v>69</v>
      </c>
      <c r="B17" s="4">
        <v>66880933</v>
      </c>
      <c r="C17" s="4">
        <v>2397790</v>
      </c>
      <c r="D17" s="13">
        <v>0</v>
      </c>
    </row>
    <row r="18" spans="1:4" x14ac:dyDescent="0.6">
      <c r="A18" s="11" t="s">
        <v>70</v>
      </c>
      <c r="B18" s="4">
        <v>147533681626</v>
      </c>
      <c r="C18" s="4">
        <v>1008787696101</v>
      </c>
      <c r="D18" s="12">
        <v>222477475643</v>
      </c>
    </row>
    <row r="19" spans="1:4" x14ac:dyDescent="0.6">
      <c r="A19" s="11" t="s">
        <v>71</v>
      </c>
      <c r="B19" s="4">
        <v>185415954367</v>
      </c>
      <c r="C19" s="4">
        <v>16039119035</v>
      </c>
      <c r="D19" s="12">
        <v>72592649200</v>
      </c>
    </row>
    <row r="20" spans="1:4" x14ac:dyDescent="0.6">
      <c r="A20" s="11" t="s">
        <v>26</v>
      </c>
      <c r="B20" s="4">
        <v>9311501621</v>
      </c>
      <c r="C20" s="4">
        <v>5132572295</v>
      </c>
      <c r="D20" s="12">
        <v>6487263788</v>
      </c>
    </row>
    <row r="21" spans="1:4" x14ac:dyDescent="0.6">
      <c r="A21" s="11" t="s">
        <v>72</v>
      </c>
      <c r="B21" s="4">
        <v>15511921472</v>
      </c>
      <c r="C21" s="4">
        <v>8154442595</v>
      </c>
      <c r="D21" s="12">
        <v>1417623421</v>
      </c>
    </row>
    <row r="22" spans="1:4" x14ac:dyDescent="0.6">
      <c r="A22" s="11" t="s">
        <v>73</v>
      </c>
      <c r="B22" s="4">
        <v>23092613056</v>
      </c>
      <c r="C22" s="4">
        <v>23674879719</v>
      </c>
      <c r="D22" s="12">
        <v>20716127375</v>
      </c>
    </row>
    <row r="23" spans="1:4" x14ac:dyDescent="0.6">
      <c r="A23" s="11" t="s">
        <v>74</v>
      </c>
      <c r="B23" s="4">
        <v>2095036255350</v>
      </c>
      <c r="C23" s="4">
        <v>2910483153610</v>
      </c>
      <c r="D23" s="12">
        <v>2219565624750</v>
      </c>
    </row>
    <row r="24" spans="1:4" x14ac:dyDescent="0.6">
      <c r="A24" s="11" t="s">
        <v>27</v>
      </c>
      <c r="B24" s="4">
        <v>1494972750945</v>
      </c>
      <c r="C24" s="4">
        <v>1463542020456</v>
      </c>
      <c r="D24" s="12">
        <v>1515696581345</v>
      </c>
    </row>
    <row r="25" spans="1:4" x14ac:dyDescent="0.6">
      <c r="A25" s="11" t="s">
        <v>35</v>
      </c>
      <c r="B25" s="4">
        <v>1998771984</v>
      </c>
      <c r="C25" s="4">
        <v>2583218556</v>
      </c>
      <c r="D25" s="12">
        <v>2597688815</v>
      </c>
    </row>
    <row r="26" spans="1:4" s="17" customFormat="1" x14ac:dyDescent="0.6">
      <c r="A26" s="11" t="s">
        <v>36</v>
      </c>
      <c r="B26" s="4">
        <v>48449517252</v>
      </c>
      <c r="C26" s="4">
        <v>64540579422</v>
      </c>
      <c r="D26" s="12">
        <v>84941964040</v>
      </c>
    </row>
    <row r="27" spans="1:4" x14ac:dyDescent="0.6">
      <c r="A27" s="11" t="s">
        <v>28</v>
      </c>
      <c r="B27" s="4">
        <v>4653972912</v>
      </c>
      <c r="C27" s="4">
        <v>4712170322</v>
      </c>
      <c r="D27" s="12">
        <v>4328224800</v>
      </c>
    </row>
    <row r="28" spans="1:4" x14ac:dyDescent="0.6">
      <c r="A28" s="11" t="s">
        <v>75</v>
      </c>
      <c r="B28" s="4">
        <v>106804876748</v>
      </c>
      <c r="C28" s="4">
        <v>171887673907</v>
      </c>
      <c r="D28" s="12">
        <v>145958562788</v>
      </c>
    </row>
    <row r="29" spans="1:4" x14ac:dyDescent="0.6">
      <c r="A29" s="11" t="s">
        <v>76</v>
      </c>
      <c r="B29" s="4">
        <v>18692565863</v>
      </c>
      <c r="C29" s="4">
        <v>74696077936</v>
      </c>
      <c r="D29" s="12">
        <v>49403736305</v>
      </c>
    </row>
    <row r="30" spans="1:4" x14ac:dyDescent="0.6">
      <c r="A30" s="11" t="s">
        <v>77</v>
      </c>
      <c r="B30" s="4">
        <v>262640</v>
      </c>
      <c r="C30" s="4">
        <v>1217925</v>
      </c>
      <c r="D30" s="12">
        <v>897725</v>
      </c>
    </row>
    <row r="31" spans="1:4" x14ac:dyDescent="0.6">
      <c r="A31" s="11" t="s">
        <v>78</v>
      </c>
      <c r="B31" s="4">
        <v>151067788665</v>
      </c>
      <c r="C31" s="4">
        <v>4221767315</v>
      </c>
      <c r="D31" s="12">
        <v>8975517273</v>
      </c>
    </row>
    <row r="32" spans="1:4" x14ac:dyDescent="0.6">
      <c r="A32" s="11" t="s">
        <v>79</v>
      </c>
      <c r="B32" s="4">
        <v>244417143712</v>
      </c>
      <c r="C32" s="4">
        <v>1100514185523</v>
      </c>
      <c r="D32" s="12">
        <v>351692587862</v>
      </c>
    </row>
    <row r="33" spans="1:4" x14ac:dyDescent="0.6">
      <c r="A33" s="11" t="s">
        <v>80</v>
      </c>
      <c r="B33" s="4">
        <v>1956780389</v>
      </c>
      <c r="C33" s="4">
        <v>1544652469</v>
      </c>
      <c r="D33" s="12">
        <v>31811829624</v>
      </c>
    </row>
    <row r="34" spans="1:4" x14ac:dyDescent="0.6">
      <c r="A34" s="11" t="s">
        <v>81</v>
      </c>
      <c r="B34" s="4">
        <v>22021824240</v>
      </c>
      <c r="C34" s="4">
        <v>22239589779</v>
      </c>
      <c r="D34" s="12">
        <v>24158034173</v>
      </c>
    </row>
    <row r="35" spans="1:4" x14ac:dyDescent="0.6">
      <c r="A35" s="11" t="s">
        <v>18</v>
      </c>
      <c r="B35" s="4">
        <v>454083647634</v>
      </c>
      <c r="C35" s="4">
        <v>477266752647</v>
      </c>
      <c r="D35" s="12">
        <v>308635146179</v>
      </c>
    </row>
    <row r="36" spans="1:4" x14ac:dyDescent="0.6">
      <c r="A36" s="11" t="s">
        <v>19</v>
      </c>
      <c r="B36" s="4">
        <v>-130129808601</v>
      </c>
      <c r="C36" s="4">
        <v>-162353746322</v>
      </c>
      <c r="D36" s="12">
        <v>-86802107537</v>
      </c>
    </row>
    <row r="37" spans="1:4" x14ac:dyDescent="0.6">
      <c r="A37" s="11" t="s">
        <v>29</v>
      </c>
      <c r="B37" s="4">
        <v>7311585791</v>
      </c>
      <c r="C37" s="4">
        <v>5507880498</v>
      </c>
      <c r="D37" s="12">
        <v>9741370500</v>
      </c>
    </row>
    <row r="38" spans="1:4" x14ac:dyDescent="0.6">
      <c r="A38" s="11" t="s">
        <v>30</v>
      </c>
      <c r="B38" s="4">
        <v>137441394392</v>
      </c>
      <c r="C38" s="4">
        <v>167861626820</v>
      </c>
      <c r="D38" s="12">
        <v>96543478037</v>
      </c>
    </row>
    <row r="39" spans="1:4" x14ac:dyDescent="0.6">
      <c r="A39" s="11" t="s">
        <v>37</v>
      </c>
      <c r="B39" s="4">
        <v>323953839033</v>
      </c>
      <c r="C39" s="4">
        <v>314913006325</v>
      </c>
      <c r="D39" s="12">
        <v>221833038642</v>
      </c>
    </row>
    <row r="40" spans="1:4" x14ac:dyDescent="0.6">
      <c r="A40" s="11" t="s">
        <v>31</v>
      </c>
      <c r="B40" s="4">
        <v>108405294994</v>
      </c>
      <c r="C40" s="4">
        <v>68858590674</v>
      </c>
      <c r="D40" s="12">
        <v>40126314108</v>
      </c>
    </row>
    <row r="41" spans="1:4" x14ac:dyDescent="0.6">
      <c r="A41" s="11" t="s">
        <v>22</v>
      </c>
      <c r="B41" s="4">
        <v>215548544039</v>
      </c>
      <c r="C41" s="4">
        <v>246054415651</v>
      </c>
      <c r="D41" s="12">
        <v>181706724534</v>
      </c>
    </row>
    <row r="42" spans="1:4" x14ac:dyDescent="0.6">
      <c r="A42" s="11" t="s">
        <v>82</v>
      </c>
      <c r="B42" s="4">
        <v>215548544039</v>
      </c>
      <c r="C42" s="4">
        <v>246054415651</v>
      </c>
      <c r="D42" s="12">
        <v>181706724534</v>
      </c>
    </row>
    <row r="43" spans="1:4" s="17" customFormat="1" x14ac:dyDescent="0.6">
      <c r="A43" s="11" t="s">
        <v>83</v>
      </c>
      <c r="B43" s="9">
        <v>0</v>
      </c>
      <c r="C43" s="9">
        <v>0</v>
      </c>
      <c r="D43" s="13">
        <v>0</v>
      </c>
    </row>
    <row r="44" spans="1:4" x14ac:dyDescent="0.6">
      <c r="A44" s="11" t="s">
        <v>84</v>
      </c>
      <c r="B44" s="4">
        <v>61528814641</v>
      </c>
      <c r="C44" s="4">
        <v>-660733193290</v>
      </c>
      <c r="D44" s="12">
        <v>358046691337</v>
      </c>
    </row>
    <row r="45" spans="1:4" ht="27" x14ac:dyDescent="0.6">
      <c r="A45" s="11" t="s">
        <v>39</v>
      </c>
      <c r="B45" s="4">
        <v>1167726260</v>
      </c>
      <c r="C45" s="4">
        <v>-6413459384</v>
      </c>
      <c r="D45" s="12">
        <v>-3831861153</v>
      </c>
    </row>
    <row r="46" spans="1:4" x14ac:dyDescent="0.6">
      <c r="A46" s="11" t="s">
        <v>85</v>
      </c>
      <c r="B46" s="4">
        <v>-5387413099</v>
      </c>
      <c r="C46" s="4">
        <v>-9585622090</v>
      </c>
      <c r="D46" s="12">
        <v>-8004557444</v>
      </c>
    </row>
    <row r="47" spans="1:4" x14ac:dyDescent="0.6">
      <c r="A47" s="11" t="s">
        <v>86</v>
      </c>
      <c r="B47" s="4">
        <v>6555139359</v>
      </c>
      <c r="C47" s="4">
        <v>3172162706</v>
      </c>
      <c r="D47" s="12">
        <v>4172696291</v>
      </c>
    </row>
    <row r="48" spans="1:4" ht="27" x14ac:dyDescent="0.6">
      <c r="A48" s="11" t="s">
        <v>38</v>
      </c>
      <c r="B48" s="4">
        <v>60361088381</v>
      </c>
      <c r="C48" s="4">
        <v>-654319733906</v>
      </c>
      <c r="D48" s="12">
        <v>361878552490</v>
      </c>
    </row>
    <row r="49" spans="1:4" x14ac:dyDescent="0.6">
      <c r="A49" s="11" t="s">
        <v>87</v>
      </c>
      <c r="B49" s="4">
        <v>-600675284253</v>
      </c>
      <c r="C49" s="4">
        <v>462185620170</v>
      </c>
      <c r="D49" s="12">
        <v>1371280805131</v>
      </c>
    </row>
    <row r="50" spans="1:4" x14ac:dyDescent="0.6">
      <c r="A50" s="11" t="s">
        <v>88</v>
      </c>
      <c r="B50" s="4">
        <v>18955346</v>
      </c>
      <c r="C50" s="4">
        <v>-8054080</v>
      </c>
      <c r="D50" s="12">
        <v>695285343</v>
      </c>
    </row>
    <row r="51" spans="1:4" x14ac:dyDescent="0.6">
      <c r="A51" s="11" t="s">
        <v>89</v>
      </c>
      <c r="B51" s="4">
        <v>-243840451813</v>
      </c>
      <c r="C51" s="4">
        <v>26226115825</v>
      </c>
      <c r="D51" s="12">
        <v>44696213782</v>
      </c>
    </row>
    <row r="52" spans="1:4" x14ac:dyDescent="0.6">
      <c r="A52" s="11" t="s">
        <v>90</v>
      </c>
      <c r="B52" s="4">
        <v>901385825527</v>
      </c>
      <c r="C52" s="4">
        <v>-1131647595522</v>
      </c>
      <c r="D52" s="12">
        <v>-1046019476620</v>
      </c>
    </row>
    <row r="53" spans="1:4" x14ac:dyDescent="0.6">
      <c r="A53" s="11" t="s">
        <v>91</v>
      </c>
      <c r="B53" s="4">
        <v>3472043574</v>
      </c>
      <c r="C53" s="4">
        <v>-11075820299</v>
      </c>
      <c r="D53" s="12">
        <v>-8774275146</v>
      </c>
    </row>
    <row r="54" spans="1:4" x14ac:dyDescent="0.6">
      <c r="A54" s="11" t="s">
        <v>32</v>
      </c>
      <c r="B54" s="4">
        <v>277077358680</v>
      </c>
      <c r="C54" s="4">
        <v>-414678777639</v>
      </c>
      <c r="D54" s="12">
        <v>539753415871</v>
      </c>
    </row>
    <row r="55" spans="1:4" x14ac:dyDescent="0.6">
      <c r="A55" s="11" t="s">
        <v>92</v>
      </c>
      <c r="B55" s="4">
        <v>277077358680</v>
      </c>
      <c r="C55" s="4">
        <v>-414678777639</v>
      </c>
      <c r="D55" s="12">
        <v>539753415871</v>
      </c>
    </row>
    <row r="56" spans="1:4" x14ac:dyDescent="0.6">
      <c r="A56" s="11" t="s">
        <v>93</v>
      </c>
      <c r="B56" s="9">
        <v>0</v>
      </c>
      <c r="C56" s="9">
        <v>0</v>
      </c>
      <c r="D56" s="13">
        <v>0</v>
      </c>
    </row>
    <row r="57" spans="1:4" x14ac:dyDescent="0.6">
      <c r="A57" s="11" t="s">
        <v>33</v>
      </c>
      <c r="B57" s="9"/>
      <c r="C57" s="9"/>
      <c r="D57" s="13"/>
    </row>
    <row r="58" spans="1:4" x14ac:dyDescent="0.6">
      <c r="A58" s="11" t="s">
        <v>94</v>
      </c>
      <c r="B58" s="10">
        <v>1542</v>
      </c>
      <c r="C58" s="10">
        <v>1760</v>
      </c>
      <c r="D58" s="14">
        <v>1300</v>
      </c>
    </row>
    <row r="59" spans="1:4" x14ac:dyDescent="0.6">
      <c r="A59" s="8" t="s">
        <v>95</v>
      </c>
      <c r="B59" s="15">
        <v>1542</v>
      </c>
      <c r="C59" s="15">
        <v>1760</v>
      </c>
      <c r="D59" s="16">
        <v>1300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부문별</vt:lpstr>
      <vt:lpstr>포괄손익계산서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2026-06-02T23:58:25Z</dcterms:modified>
</cp:coreProperties>
</file>