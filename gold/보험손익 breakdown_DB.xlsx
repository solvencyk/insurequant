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gold\"/>
    </mc:Choice>
  </mc:AlternateContent>
  <xr:revisionPtr revIDLastSave="0" documentId="13_ncr:1_{03B202BD-4F17-45C0-94F4-3BEF4AFAB04D}" xr6:coauthVersionLast="47" xr6:coauthVersionMax="47" xr10:uidLastSave="{00000000-0000-0000-0000-000000000000}"/>
  <bookViews>
    <workbookView xWindow="-96" yWindow="0" windowWidth="23232" windowHeight="18576" xr2:uid="{B186C083-72FA-4707-BBE5-A56EC0A2D05F}"/>
  </bookViews>
  <sheets>
    <sheet name="Sheet1" sheetId="4" r:id="rId1"/>
    <sheet name="보험손익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4" l="1"/>
  <c r="C24" i="1"/>
  <c r="H2" i="4"/>
  <c r="H15" i="4"/>
  <c r="H14" i="4"/>
  <c r="H12" i="4"/>
  <c r="H11" i="4"/>
  <c r="H10" i="4"/>
  <c r="H9" i="4"/>
  <c r="H7" i="4"/>
  <c r="H6" i="4"/>
  <c r="H5" i="4"/>
  <c r="H4" i="4"/>
  <c r="E8" i="4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H13" i="4" l="1"/>
  <c r="H3" i="4"/>
  <c r="H8" i="4"/>
  <c r="E3" i="4"/>
  <c r="E4" i="4" s="1"/>
  <c r="E5" i="4" s="1"/>
  <c r="E6" i="4" s="1"/>
  <c r="E7" i="4" s="1"/>
</calcChain>
</file>

<file path=xl/sharedStrings.xml><?xml version="1.0" encoding="utf-8"?>
<sst xmlns="http://schemas.openxmlformats.org/spreadsheetml/2006/main" count="366" uniqueCount="100">
  <si>
    <t>공시분기</t>
  </si>
  <si>
    <t>영업이익</t>
  </si>
  <si>
    <t>당기순이익</t>
  </si>
  <si>
    <t>손해보험</t>
  </si>
  <si>
    <t>법인세</t>
  </si>
  <si>
    <t>세전이익</t>
  </si>
  <si>
    <t>영업외손익</t>
  </si>
  <si>
    <t>기타사업비용</t>
    <phoneticPr fontId="2" type="noConversion"/>
  </si>
  <si>
    <t>기타영업수익</t>
    <phoneticPr fontId="2" type="noConversion"/>
  </si>
  <si>
    <t>보험금융손익</t>
  </si>
  <si>
    <t>투자이익</t>
  </si>
  <si>
    <t>투자손익</t>
    <phoneticPr fontId="2" type="noConversion"/>
  </si>
  <si>
    <t>일반손익</t>
  </si>
  <si>
    <t>자동차손익</t>
  </si>
  <si>
    <t>보험손익</t>
    <phoneticPr fontId="2" type="noConversion"/>
  </si>
  <si>
    <t>값</t>
  </si>
  <si>
    <t>항목명</t>
  </si>
  <si>
    <t>항목번호</t>
  </si>
  <si>
    <t>생손보여부</t>
  </si>
  <si>
    <t>티커</t>
  </si>
  <si>
    <t>원수사명</t>
  </si>
  <si>
    <t>원보험사코드</t>
  </si>
  <si>
    <t>검증</t>
    <phoneticPr fontId="2" type="noConversion"/>
  </si>
  <si>
    <t>생명장기 손익</t>
    <phoneticPr fontId="2" type="noConversion"/>
  </si>
  <si>
    <t>생명장기 원수손익</t>
    <phoneticPr fontId="2" type="noConversion"/>
  </si>
  <si>
    <t>생명장기 재보험손익</t>
    <phoneticPr fontId="2" type="noConversion"/>
  </si>
  <si>
    <t>손해보험</t>
    <phoneticPr fontId="2" type="noConversion"/>
  </si>
  <si>
    <t>원수 CSM상각</t>
    <phoneticPr fontId="2" type="noConversion"/>
  </si>
  <si>
    <t>원수 위험조정 변동</t>
    <phoneticPr fontId="2" type="noConversion"/>
  </si>
  <si>
    <t>원수 예실차</t>
    <phoneticPr fontId="2" type="noConversion"/>
  </si>
  <si>
    <t>기타 생명장기 원수손익</t>
    <phoneticPr fontId="2" type="noConversion"/>
  </si>
  <si>
    <t>재보험 CSM상각</t>
    <phoneticPr fontId="2" type="noConversion"/>
  </si>
  <si>
    <t>재보험 위험조정 변동</t>
    <phoneticPr fontId="2" type="noConversion"/>
  </si>
  <si>
    <t>재보험 예실차</t>
    <phoneticPr fontId="2" type="noConversion"/>
  </si>
  <si>
    <t>기타 생명장기 재보험손익</t>
    <phoneticPr fontId="2" type="noConversion"/>
  </si>
  <si>
    <t>보험수익</t>
  </si>
  <si>
    <t>2025.2Q</t>
    <phoneticPr fontId="2" type="noConversion"/>
  </si>
  <si>
    <t>(단위 : 백만원)</t>
  </si>
  <si>
    <t>3개월</t>
  </si>
  <si>
    <t>누적</t>
  </si>
  <si>
    <t>5. 보험수익 및 비용</t>
  </si>
  <si>
    <t>발행보험의 보험수익 분석 공시</t>
  </si>
  <si>
    <t>당반기</t>
  </si>
  <si>
    <t>보험계약의 세분</t>
  </si>
  <si>
    <t>발행한 보험계약</t>
  </si>
  <si>
    <t>원수보험</t>
  </si>
  <si>
    <t>수재보험</t>
  </si>
  <si>
    <t>보험계약</t>
  </si>
  <si>
    <t>보험계약  합계</t>
  </si>
  <si>
    <t>보험료배분접근법을 적용한 보험계약 외의 보험계약</t>
  </si>
  <si>
    <t>보험료배분접근법을 적용한 보험계약</t>
  </si>
  <si>
    <t>계약의 유형</t>
  </si>
  <si>
    <t>계약의 유형  합계</t>
  </si>
  <si>
    <t>장기보험</t>
  </si>
  <si>
    <t>일반보험</t>
  </si>
  <si>
    <t>자동차보험</t>
  </si>
  <si>
    <t>보험수익, 예상 보험금 (기초 예상 측정치)</t>
  </si>
  <si>
    <t>보험수익, 보험취득 현금흐름의 회수와 관련되는 보험료 부분의 배분액</t>
  </si>
  <si>
    <t>보험수익, 예상 유지비 (기초 예상 측정치)</t>
  </si>
  <si>
    <t>보험수익, 예상 손해조사비 (기초 예상 측정치)</t>
  </si>
  <si>
    <t>보험수익, 예상 투자관리비 (기초 예상 측정치)</t>
  </si>
  <si>
    <t>보험수익, 비금융위험에 대한 위험조정의 변동분</t>
  </si>
  <si>
    <t>보험수익, 서비스의 이전으로 당기손익에 인식한 보험계약마진</t>
  </si>
  <si>
    <t>보험수익에 배분된 손실요소</t>
  </si>
  <si>
    <t>발행보험의 보험수익 분석 공시, 합계</t>
  </si>
  <si>
    <t>발행보험의 보험서비스비용 분석 공시</t>
  </si>
  <si>
    <t>보험서비스비용, 발생한 보험금</t>
  </si>
  <si>
    <t>보험취득현금흐름상각</t>
  </si>
  <si>
    <t>보험인수현금흐름</t>
  </si>
  <si>
    <t>보험서비스비용, 발생한 유지비</t>
  </si>
  <si>
    <t>보험서비스비용, 발생한 손해조사비</t>
  </si>
  <si>
    <t>보험서비스비용, 발생한 투자관리비</t>
  </si>
  <si>
    <t>보험서비스비용, 이익수수료</t>
  </si>
  <si>
    <t>손실부담계약의 손실인식(환입)</t>
  </si>
  <si>
    <t>발생사고부채 조정</t>
  </si>
  <si>
    <t>보험비용에 배분된 손실요소</t>
  </si>
  <si>
    <t>보험서비스비용, 보험취득 현금흐름 경험조정</t>
  </si>
  <si>
    <t>발행한 보험계약에서 생기는 보험서비스비용</t>
  </si>
  <si>
    <t>발행보험의 보험서비스비용 분석 공시, 합계</t>
  </si>
  <si>
    <t>보험비용</t>
  </si>
  <si>
    <t>6. 재보험수익 및 비용</t>
  </si>
  <si>
    <t>재보험비용의 보험서비스비용 분석 공시</t>
  </si>
  <si>
    <t>보유 재보험계약</t>
  </si>
  <si>
    <t>재보험수익, 발생한 보험금</t>
  </si>
  <si>
    <t>재보험수익, 발생한 손해조사비</t>
  </si>
  <si>
    <t>손실회수요소 인식(환입)</t>
  </si>
  <si>
    <t>발생사고자산 조정</t>
  </si>
  <si>
    <t>재보험수익에 배분된 손실회수요소</t>
  </si>
  <si>
    <t>재보험수익, 기타</t>
  </si>
  <si>
    <t>재보험자에게서 회수한 금액에서 생기는 수익</t>
  </si>
  <si>
    <t>재보험비용 분석 공시</t>
  </si>
  <si>
    <t>재보험비용, 예상 보험금 (기초 예상 측정치)</t>
  </si>
  <si>
    <t>재보험비용, 예상 기타 보험서비스비용 (기초 예상 측정치)</t>
  </si>
  <si>
    <t>재보험비용, 비금융위험에 대한 위험조정의 변동분</t>
  </si>
  <si>
    <t>재보험비용, 서비스의 이전으로 당기손익에 인식한 보험계약마진</t>
  </si>
  <si>
    <t>재보험비용에 배분된 손실회수요소</t>
  </si>
  <si>
    <t>재보험비용, 그 밖의 금액</t>
  </si>
  <si>
    <t>재보험자에게 지급된 보험료 배분액에서 생기는 비용</t>
  </si>
  <si>
    <t>KR0011</t>
    <phoneticPr fontId="2" type="noConversion"/>
  </si>
  <si>
    <t>DB손보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</si>
</sst>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1"/>
      <color rgb="FF00000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3" fontId="1" fillId="0" borderId="3" xfId="0" applyNumberFormat="1" applyFont="1" applyBorder="1" applyAlignment="1">
      <alignment horizontal="right" vertical="center" wrapText="1"/>
    </xf>
    <xf numFmtId="3" fontId="1" fillId="0" borderId="4" xfId="0" applyNumberFormat="1" applyFont="1" applyBorder="1" applyAlignment="1">
      <alignment horizontal="right" vertical="center" wrapText="1"/>
    </xf>
    <xf numFmtId="3" fontId="1" fillId="0" borderId="5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0" fillId="0" borderId="0" xfId="0" applyAlignment="1"/>
    <xf numFmtId="0" fontId="1" fillId="0" borderId="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0264-0ADE-4580-BFCD-469F1D8FFBA3}">
  <dimension ref="A1:L25"/>
  <sheetViews>
    <sheetView tabSelected="1" workbookViewId="0"/>
  </sheetViews>
  <sheetFormatPr defaultRowHeight="17.399999999999999" x14ac:dyDescent="0.4"/>
  <cols>
    <col min="5" max="5" width="9.19921875" bestFit="1" customWidth="1"/>
    <col min="6" max="6" width="20.8984375" bestFit="1" customWidth="1"/>
    <col min="8" max="8" width="16.59765625" bestFit="1" customWidth="1"/>
  </cols>
  <sheetData>
    <row r="1" spans="1:12" x14ac:dyDescent="0.4">
      <c r="A1" s="9" t="s">
        <v>21</v>
      </c>
      <c r="B1" s="9" t="s">
        <v>20</v>
      </c>
      <c r="C1" s="9" t="s">
        <v>19</v>
      </c>
      <c r="D1" s="9" t="s">
        <v>18</v>
      </c>
      <c r="E1" s="9" t="s">
        <v>17</v>
      </c>
      <c r="F1" s="9" t="s">
        <v>16</v>
      </c>
      <c r="G1" s="9" t="s">
        <v>0</v>
      </c>
      <c r="H1" s="9" t="s">
        <v>15</v>
      </c>
      <c r="I1" s="9" t="s">
        <v>22</v>
      </c>
    </row>
    <row r="2" spans="1:12" x14ac:dyDescent="0.4">
      <c r="A2" s="9" t="s">
        <v>98</v>
      </c>
      <c r="B2" s="9" t="s">
        <v>99</v>
      </c>
      <c r="C2" s="9"/>
      <c r="D2" s="9" t="s">
        <v>3</v>
      </c>
      <c r="E2" s="9">
        <v>1</v>
      </c>
      <c r="F2" t="s">
        <v>14</v>
      </c>
      <c r="G2" s="9" t="s">
        <v>36</v>
      </c>
      <c r="H2" s="2">
        <f>H3+H14+H15+H16-H17</f>
        <v>670412</v>
      </c>
      <c r="I2" s="2" t="b">
        <f>ABS(ROUND(H2,0)-670411)&lt;2</f>
        <v>1</v>
      </c>
      <c r="L2" s="2"/>
    </row>
    <row r="3" spans="1:12" x14ac:dyDescent="0.4">
      <c r="A3" s="9" t="s">
        <v>98</v>
      </c>
      <c r="B3" s="9" t="s">
        <v>99</v>
      </c>
      <c r="C3" s="9"/>
      <c r="D3" s="9" t="s">
        <v>3</v>
      </c>
      <c r="E3">
        <f t="shared" ref="E3" si="0">E2+1</f>
        <v>2</v>
      </c>
      <c r="F3" t="s">
        <v>23</v>
      </c>
      <c r="G3" t="s">
        <v>36</v>
      </c>
      <c r="H3" s="2">
        <f>H4+H9</f>
        <v>695224</v>
      </c>
    </row>
    <row r="4" spans="1:12" x14ac:dyDescent="0.4">
      <c r="A4" s="9" t="s">
        <v>98</v>
      </c>
      <c r="B4" s="9" t="s">
        <v>99</v>
      </c>
      <c r="C4" s="9"/>
      <c r="D4" s="9" t="s">
        <v>3</v>
      </c>
      <c r="E4">
        <f t="shared" ref="E4:E7" si="1">E3+1</f>
        <v>3</v>
      </c>
      <c r="F4" t="s">
        <v>24</v>
      </c>
      <c r="G4" t="s">
        <v>36</v>
      </c>
      <c r="H4" s="2">
        <f>보험손익!C22-보험손익!C55</f>
        <v>697862</v>
      </c>
    </row>
    <row r="5" spans="1:12" x14ac:dyDescent="0.4">
      <c r="A5" s="9" t="s">
        <v>98</v>
      </c>
      <c r="B5" s="9" t="s">
        <v>99</v>
      </c>
      <c r="C5" s="9"/>
      <c r="D5" s="9" t="s">
        <v>3</v>
      </c>
      <c r="E5">
        <f t="shared" si="1"/>
        <v>4</v>
      </c>
      <c r="F5" t="s">
        <v>27</v>
      </c>
      <c r="G5" t="s">
        <v>36</v>
      </c>
      <c r="H5" s="2">
        <f>보험손익!C20</f>
        <v>648936</v>
      </c>
      <c r="K5" s="2"/>
    </row>
    <row r="6" spans="1:12" x14ac:dyDescent="0.4">
      <c r="A6" s="9" t="s">
        <v>98</v>
      </c>
      <c r="B6" s="9" t="s">
        <v>99</v>
      </c>
      <c r="C6" s="9"/>
      <c r="D6" s="9" t="s">
        <v>3</v>
      </c>
      <c r="E6">
        <f t="shared" si="1"/>
        <v>5</v>
      </c>
      <c r="F6" t="s">
        <v>28</v>
      </c>
      <c r="G6" t="s">
        <v>36</v>
      </c>
      <c r="H6" s="2">
        <f>보험손익!C19</f>
        <v>76237</v>
      </c>
      <c r="K6" s="2"/>
    </row>
    <row r="7" spans="1:12" x14ac:dyDescent="0.4">
      <c r="A7" s="9" t="s">
        <v>98</v>
      </c>
      <c r="B7" s="9" t="s">
        <v>99</v>
      </c>
      <c r="C7" s="9"/>
      <c r="D7" s="9" t="s">
        <v>3</v>
      </c>
      <c r="E7">
        <f t="shared" si="1"/>
        <v>6</v>
      </c>
      <c r="F7" t="s">
        <v>29</v>
      </c>
      <c r="G7" t="s">
        <v>36</v>
      </c>
      <c r="H7" s="2">
        <f>보험손익!C14+보험손익!C16+보험손익!C17+보험손익!C18-보험손익!C44-보험손익!C47-보험손익!C48-보험손익!C49</f>
        <v>54770</v>
      </c>
      <c r="K7" s="2"/>
    </row>
    <row r="8" spans="1:12" x14ac:dyDescent="0.4">
      <c r="A8" s="9" t="s">
        <v>98</v>
      </c>
      <c r="B8" s="9" t="s">
        <v>99</v>
      </c>
      <c r="C8" s="9"/>
      <c r="D8" s="9" t="s">
        <v>26</v>
      </c>
      <c r="E8">
        <f t="shared" ref="E8:E25" si="2">E7+1</f>
        <v>7</v>
      </c>
      <c r="F8" t="s">
        <v>30</v>
      </c>
      <c r="G8" t="s">
        <v>36</v>
      </c>
      <c r="H8" s="2">
        <f>H4-SUM(H5:H7)</f>
        <v>-82081</v>
      </c>
      <c r="K8" s="2"/>
    </row>
    <row r="9" spans="1:12" x14ac:dyDescent="0.4">
      <c r="A9" s="9" t="s">
        <v>98</v>
      </c>
      <c r="B9" s="9" t="s">
        <v>99</v>
      </c>
      <c r="C9" s="9"/>
      <c r="D9" s="9" t="s">
        <v>26</v>
      </c>
      <c r="E9">
        <f t="shared" si="2"/>
        <v>8</v>
      </c>
      <c r="F9" t="s">
        <v>25</v>
      </c>
      <c r="G9" t="s">
        <v>36</v>
      </c>
      <c r="H9" s="2">
        <f>보험손익!C83-보험손익!C100</f>
        <v>-2638</v>
      </c>
      <c r="K9" s="2"/>
    </row>
    <row r="10" spans="1:12" x14ac:dyDescent="0.4">
      <c r="A10" s="9" t="s">
        <v>98</v>
      </c>
      <c r="B10" s="9" t="s">
        <v>99</v>
      </c>
      <c r="C10" s="9"/>
      <c r="D10" s="9" t="s">
        <v>26</v>
      </c>
      <c r="E10">
        <f t="shared" si="2"/>
        <v>9</v>
      </c>
      <c r="F10" t="s">
        <v>31</v>
      </c>
      <c r="G10" t="s">
        <v>36</v>
      </c>
      <c r="H10" s="2">
        <f>-보험손익!C97</f>
        <v>1413</v>
      </c>
      <c r="K10" s="2"/>
    </row>
    <row r="11" spans="1:12" x14ac:dyDescent="0.4">
      <c r="A11" s="9" t="s">
        <v>98</v>
      </c>
      <c r="B11" s="9" t="s">
        <v>99</v>
      </c>
      <c r="C11" s="9"/>
      <c r="D11" s="9" t="s">
        <v>26</v>
      </c>
      <c r="E11">
        <f t="shared" si="2"/>
        <v>10</v>
      </c>
      <c r="F11" t="s">
        <v>32</v>
      </c>
      <c r="G11" t="s">
        <v>36</v>
      </c>
      <c r="H11" s="2">
        <f>-보험손익!C96</f>
        <v>-2093</v>
      </c>
      <c r="K11" s="2"/>
    </row>
    <row r="12" spans="1:12" x14ac:dyDescent="0.4">
      <c r="A12" s="9" t="s">
        <v>98</v>
      </c>
      <c r="B12" s="9" t="s">
        <v>99</v>
      </c>
      <c r="C12" s="9"/>
      <c r="D12" s="9" t="s">
        <v>26</v>
      </c>
      <c r="E12">
        <f t="shared" si="2"/>
        <v>11</v>
      </c>
      <c r="F12" t="s">
        <v>33</v>
      </c>
      <c r="G12" t="s">
        <v>36</v>
      </c>
      <c r="H12" s="2">
        <f>보험손익!C77+보험손익!C78-보험손익!C94-보험손익!C95</f>
        <v>-45549</v>
      </c>
      <c r="K12" s="2"/>
    </row>
    <row r="13" spans="1:12" x14ac:dyDescent="0.4">
      <c r="A13" s="9" t="s">
        <v>98</v>
      </c>
      <c r="B13" s="9" t="s">
        <v>99</v>
      </c>
      <c r="C13" s="9"/>
      <c r="D13" s="9" t="s">
        <v>26</v>
      </c>
      <c r="E13">
        <f t="shared" si="2"/>
        <v>12</v>
      </c>
      <c r="F13" t="s">
        <v>34</v>
      </c>
      <c r="G13" t="s">
        <v>36</v>
      </c>
      <c r="H13" s="2">
        <f>H9-SUM(H10:H12)</f>
        <v>43591</v>
      </c>
      <c r="K13" s="2"/>
    </row>
    <row r="14" spans="1:12" x14ac:dyDescent="0.4">
      <c r="A14" s="9" t="s">
        <v>98</v>
      </c>
      <c r="B14" s="9" t="s">
        <v>99</v>
      </c>
      <c r="C14" s="9"/>
      <c r="D14" s="9" t="s">
        <v>26</v>
      </c>
      <c r="E14">
        <f t="shared" si="2"/>
        <v>13</v>
      </c>
      <c r="F14" t="s">
        <v>13</v>
      </c>
      <c r="G14" t="s">
        <v>36</v>
      </c>
      <c r="H14" s="2">
        <f>보험손익!O22+보험손익!AG22-보험손익!G55-보험손익!O55+보험손익!G83-보험손익!O100</f>
        <v>90130</v>
      </c>
    </row>
    <row r="15" spans="1:12" x14ac:dyDescent="0.4">
      <c r="A15" s="9" t="s">
        <v>98</v>
      </c>
      <c r="B15" s="9" t="s">
        <v>99</v>
      </c>
      <c r="C15" s="9"/>
      <c r="D15" s="9" t="s">
        <v>3</v>
      </c>
      <c r="E15">
        <f t="shared" si="2"/>
        <v>14</v>
      </c>
      <c r="F15" t="s">
        <v>12</v>
      </c>
      <c r="G15" t="s">
        <v>36</v>
      </c>
      <c r="H15" s="2">
        <f>보험손익!M22+보험손익!AE22-보험손익!E55-보험손익!M55+보험손익!E83-보험손익!M100</f>
        <v>-48510</v>
      </c>
    </row>
    <row r="16" spans="1:12" x14ac:dyDescent="0.4">
      <c r="A16" s="9" t="s">
        <v>98</v>
      </c>
      <c r="B16" s="9" t="s">
        <v>99</v>
      </c>
      <c r="C16" s="9"/>
      <c r="D16" s="9" t="s">
        <v>3</v>
      </c>
      <c r="E16">
        <f t="shared" si="2"/>
        <v>15</v>
      </c>
      <c r="F16" t="s">
        <v>8</v>
      </c>
      <c r="G16" t="s">
        <v>36</v>
      </c>
      <c r="H16" s="2"/>
    </row>
    <row r="17" spans="1:9" x14ac:dyDescent="0.4">
      <c r="A17" s="9" t="s">
        <v>98</v>
      </c>
      <c r="B17" s="9" t="s">
        <v>99</v>
      </c>
      <c r="C17" s="9"/>
      <c r="D17" s="9" t="s">
        <v>3</v>
      </c>
      <c r="E17">
        <f t="shared" si="2"/>
        <v>16</v>
      </c>
      <c r="F17" t="s">
        <v>7</v>
      </c>
      <c r="G17" t="s">
        <v>36</v>
      </c>
      <c r="H17" s="2">
        <v>66432</v>
      </c>
    </row>
    <row r="18" spans="1:9" x14ac:dyDescent="0.4">
      <c r="A18" s="9" t="s">
        <v>98</v>
      </c>
      <c r="B18" s="9" t="s">
        <v>99</v>
      </c>
      <c r="C18" s="9"/>
      <c r="D18" s="9" t="s">
        <v>3</v>
      </c>
      <c r="E18">
        <f t="shared" si="2"/>
        <v>17</v>
      </c>
      <c r="F18" t="s">
        <v>11</v>
      </c>
      <c r="G18" t="s">
        <v>36</v>
      </c>
      <c r="H18" s="2"/>
    </row>
    <row r="19" spans="1:9" x14ac:dyDescent="0.4">
      <c r="A19" s="9" t="s">
        <v>98</v>
      </c>
      <c r="B19" s="9" t="s">
        <v>99</v>
      </c>
      <c r="C19" s="9"/>
      <c r="D19" s="9" t="s">
        <v>3</v>
      </c>
      <c r="E19">
        <f t="shared" si="2"/>
        <v>18</v>
      </c>
      <c r="F19" t="s">
        <v>10</v>
      </c>
      <c r="G19" t="s">
        <v>36</v>
      </c>
      <c r="H19" s="2"/>
    </row>
    <row r="20" spans="1:9" x14ac:dyDescent="0.4">
      <c r="A20" s="9" t="s">
        <v>98</v>
      </c>
      <c r="B20" s="9" t="s">
        <v>99</v>
      </c>
      <c r="C20" s="9"/>
      <c r="D20" s="9" t="s">
        <v>3</v>
      </c>
      <c r="E20">
        <f t="shared" si="2"/>
        <v>19</v>
      </c>
      <c r="F20" t="s">
        <v>9</v>
      </c>
      <c r="G20" t="s">
        <v>36</v>
      </c>
      <c r="H20" s="2"/>
    </row>
    <row r="21" spans="1:9" x14ac:dyDescent="0.4">
      <c r="A21" s="9" t="s">
        <v>98</v>
      </c>
      <c r="B21" s="9" t="s">
        <v>99</v>
      </c>
      <c r="C21" s="9"/>
      <c r="D21" s="9" t="s">
        <v>3</v>
      </c>
      <c r="E21">
        <f t="shared" si="2"/>
        <v>20</v>
      </c>
      <c r="F21" t="s">
        <v>1</v>
      </c>
      <c r="G21" t="s">
        <v>36</v>
      </c>
      <c r="H21" s="2"/>
    </row>
    <row r="22" spans="1:9" x14ac:dyDescent="0.4">
      <c r="A22" s="9" t="s">
        <v>98</v>
      </c>
      <c r="B22" s="9" t="s">
        <v>99</v>
      </c>
      <c r="C22" s="9"/>
      <c r="D22" s="9" t="s">
        <v>3</v>
      </c>
      <c r="E22">
        <f t="shared" si="2"/>
        <v>21</v>
      </c>
      <c r="F22" t="s">
        <v>6</v>
      </c>
      <c r="G22" t="s">
        <v>36</v>
      </c>
      <c r="H22" s="2"/>
    </row>
    <row r="23" spans="1:9" x14ac:dyDescent="0.4">
      <c r="A23" s="9" t="s">
        <v>98</v>
      </c>
      <c r="B23" s="9" t="s">
        <v>99</v>
      </c>
      <c r="C23" s="9"/>
      <c r="D23" s="9" t="s">
        <v>3</v>
      </c>
      <c r="E23">
        <f t="shared" si="2"/>
        <v>22</v>
      </c>
      <c r="F23" t="s">
        <v>5</v>
      </c>
      <c r="G23" t="s">
        <v>36</v>
      </c>
      <c r="H23" s="2"/>
    </row>
    <row r="24" spans="1:9" x14ac:dyDescent="0.4">
      <c r="A24" s="9" t="s">
        <v>98</v>
      </c>
      <c r="B24" s="9" t="s">
        <v>99</v>
      </c>
      <c r="C24" s="9"/>
      <c r="D24" s="9" t="s">
        <v>3</v>
      </c>
      <c r="E24">
        <f t="shared" si="2"/>
        <v>23</v>
      </c>
      <c r="F24" t="s">
        <v>4</v>
      </c>
      <c r="G24" t="s">
        <v>36</v>
      </c>
      <c r="H24" s="2"/>
    </row>
    <row r="25" spans="1:9" x14ac:dyDescent="0.4">
      <c r="A25" s="9" t="s">
        <v>98</v>
      </c>
      <c r="B25" s="9" t="s">
        <v>99</v>
      </c>
      <c r="C25" s="9"/>
      <c r="D25" s="9" t="s">
        <v>3</v>
      </c>
      <c r="E25">
        <f t="shared" si="2"/>
        <v>24</v>
      </c>
      <c r="F25" t="s">
        <v>2</v>
      </c>
      <c r="G25" t="s">
        <v>36</v>
      </c>
      <c r="H25" s="2"/>
      <c r="I25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DA82-6A21-44FC-86F1-F467AB2ECEED}">
  <dimension ref="A1:AK101"/>
  <sheetViews>
    <sheetView zoomScaleNormal="100" workbookViewId="0">
      <pane xSplit="3" ySplit="1" topLeftCell="D21" activePane="bottomRight" state="frozen"/>
      <selection pane="topRight" activeCell="D1" sqref="D1"/>
      <selection pane="bottomLeft" activeCell="A2" sqref="A2"/>
      <selection pane="bottomRight" activeCell="G37" sqref="G37"/>
    </sheetView>
  </sheetViews>
  <sheetFormatPr defaultRowHeight="17.399999999999999" x14ac:dyDescent="0.4"/>
  <cols>
    <col min="1" max="1" width="22.796875" bestFit="1" customWidth="1"/>
    <col min="2" max="5" width="10.796875" bestFit="1" customWidth="1"/>
    <col min="19" max="19" width="9.59765625" bestFit="1" customWidth="1"/>
  </cols>
  <sheetData>
    <row r="1" spans="1:37" x14ac:dyDescent="0.4">
      <c r="A1" s="16" t="s">
        <v>40</v>
      </c>
    </row>
    <row r="2" spans="1:37" x14ac:dyDescent="0.4">
      <c r="A2" s="17"/>
    </row>
    <row r="3" spans="1:37" ht="28.8" x14ac:dyDescent="0.4">
      <c r="A3" s="18" t="s">
        <v>41</v>
      </c>
    </row>
    <row r="4" spans="1:37" x14ac:dyDescent="0.4">
      <c r="A4" s="19" t="s">
        <v>41</v>
      </c>
      <c r="B4" s="19"/>
    </row>
    <row r="5" spans="1:37" ht="28.8" x14ac:dyDescent="0.4">
      <c r="A5" s="17" t="s">
        <v>42</v>
      </c>
      <c r="B5" s="13" t="s">
        <v>37</v>
      </c>
    </row>
    <row r="6" spans="1:37" x14ac:dyDescent="0.4">
      <c r="A6" s="20"/>
      <c r="B6" s="14" t="s">
        <v>43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15"/>
    </row>
    <row r="7" spans="1:37" x14ac:dyDescent="0.4">
      <c r="A7" s="21"/>
      <c r="B7" s="24" t="s">
        <v>44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6"/>
    </row>
    <row r="8" spans="1:37" ht="16.95" customHeight="1" x14ac:dyDescent="0.4">
      <c r="A8" s="21"/>
      <c r="B8" s="24" t="s">
        <v>45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7"/>
      <c r="T8" s="24" t="s">
        <v>46</v>
      </c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6"/>
    </row>
    <row r="9" spans="1:37" x14ac:dyDescent="0.4">
      <c r="A9" s="21"/>
      <c r="B9" s="24" t="s">
        <v>47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7"/>
      <c r="R9" s="28" t="s">
        <v>48</v>
      </c>
      <c r="S9" s="29"/>
      <c r="T9" s="24" t="s">
        <v>47</v>
      </c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7"/>
      <c r="AJ9" s="28" t="s">
        <v>48</v>
      </c>
      <c r="AK9" s="34"/>
    </row>
    <row r="10" spans="1:37" x14ac:dyDescent="0.4">
      <c r="A10" s="21"/>
      <c r="B10" s="24" t="s">
        <v>49</v>
      </c>
      <c r="C10" s="25"/>
      <c r="D10" s="25"/>
      <c r="E10" s="25"/>
      <c r="F10" s="25"/>
      <c r="G10" s="25"/>
      <c r="H10" s="25"/>
      <c r="I10" s="27"/>
      <c r="J10" s="24" t="s">
        <v>50</v>
      </c>
      <c r="K10" s="25"/>
      <c r="L10" s="25"/>
      <c r="M10" s="25"/>
      <c r="N10" s="25"/>
      <c r="O10" s="25"/>
      <c r="P10" s="25"/>
      <c r="Q10" s="27"/>
      <c r="R10" s="30"/>
      <c r="S10" s="31"/>
      <c r="T10" s="24" t="s">
        <v>49</v>
      </c>
      <c r="U10" s="25"/>
      <c r="V10" s="25"/>
      <c r="W10" s="25"/>
      <c r="X10" s="25"/>
      <c r="Y10" s="25"/>
      <c r="Z10" s="25"/>
      <c r="AA10" s="27"/>
      <c r="AB10" s="24" t="s">
        <v>50</v>
      </c>
      <c r="AC10" s="25"/>
      <c r="AD10" s="25"/>
      <c r="AE10" s="25"/>
      <c r="AF10" s="25"/>
      <c r="AG10" s="25"/>
      <c r="AH10" s="25"/>
      <c r="AI10" s="27"/>
      <c r="AJ10" s="30"/>
      <c r="AK10" s="35"/>
    </row>
    <row r="11" spans="1:37" x14ac:dyDescent="0.4">
      <c r="A11" s="21"/>
      <c r="B11" s="24" t="s">
        <v>51</v>
      </c>
      <c r="C11" s="25"/>
      <c r="D11" s="25"/>
      <c r="E11" s="25"/>
      <c r="F11" s="25"/>
      <c r="G11" s="27"/>
      <c r="H11" s="28" t="s">
        <v>52</v>
      </c>
      <c r="I11" s="29"/>
      <c r="J11" s="24" t="s">
        <v>51</v>
      </c>
      <c r="K11" s="25"/>
      <c r="L11" s="25"/>
      <c r="M11" s="25"/>
      <c r="N11" s="25"/>
      <c r="O11" s="27"/>
      <c r="P11" s="28" t="s">
        <v>52</v>
      </c>
      <c r="Q11" s="29"/>
      <c r="R11" s="30"/>
      <c r="S11" s="31"/>
      <c r="T11" s="24" t="s">
        <v>51</v>
      </c>
      <c r="U11" s="25"/>
      <c r="V11" s="25"/>
      <c r="W11" s="25"/>
      <c r="X11" s="25"/>
      <c r="Y11" s="27"/>
      <c r="Z11" s="28" t="s">
        <v>52</v>
      </c>
      <c r="AA11" s="29"/>
      <c r="AB11" s="24" t="s">
        <v>51</v>
      </c>
      <c r="AC11" s="25"/>
      <c r="AD11" s="25"/>
      <c r="AE11" s="25"/>
      <c r="AF11" s="25"/>
      <c r="AG11" s="27"/>
      <c r="AH11" s="28" t="s">
        <v>52</v>
      </c>
      <c r="AI11" s="29"/>
      <c r="AJ11" s="30"/>
      <c r="AK11" s="35"/>
    </row>
    <row r="12" spans="1:37" x14ac:dyDescent="0.4">
      <c r="A12" s="21"/>
      <c r="B12" s="24" t="s">
        <v>53</v>
      </c>
      <c r="C12" s="27"/>
      <c r="D12" s="24" t="s">
        <v>54</v>
      </c>
      <c r="E12" s="27"/>
      <c r="F12" s="24" t="s">
        <v>55</v>
      </c>
      <c r="G12" s="27"/>
      <c r="H12" s="32"/>
      <c r="I12" s="33"/>
      <c r="J12" s="24" t="s">
        <v>53</v>
      </c>
      <c r="K12" s="27"/>
      <c r="L12" s="24" t="s">
        <v>54</v>
      </c>
      <c r="M12" s="27"/>
      <c r="N12" s="24" t="s">
        <v>55</v>
      </c>
      <c r="O12" s="27"/>
      <c r="P12" s="32"/>
      <c r="Q12" s="33"/>
      <c r="R12" s="32"/>
      <c r="S12" s="33"/>
      <c r="T12" s="24" t="s">
        <v>53</v>
      </c>
      <c r="U12" s="27"/>
      <c r="V12" s="24" t="s">
        <v>54</v>
      </c>
      <c r="W12" s="27"/>
      <c r="X12" s="24" t="s">
        <v>55</v>
      </c>
      <c r="Y12" s="27"/>
      <c r="Z12" s="32"/>
      <c r="AA12" s="33"/>
      <c r="AB12" s="24" t="s">
        <v>53</v>
      </c>
      <c r="AC12" s="27"/>
      <c r="AD12" s="24" t="s">
        <v>54</v>
      </c>
      <c r="AE12" s="27"/>
      <c r="AF12" s="24" t="s">
        <v>55</v>
      </c>
      <c r="AG12" s="27"/>
      <c r="AH12" s="32"/>
      <c r="AI12" s="33"/>
      <c r="AJ12" s="32"/>
      <c r="AK12" s="36"/>
    </row>
    <row r="13" spans="1:37" x14ac:dyDescent="0.4">
      <c r="A13" s="21"/>
      <c r="B13" s="1" t="s">
        <v>38</v>
      </c>
      <c r="C13" s="1" t="s">
        <v>39</v>
      </c>
      <c r="D13" s="1" t="s">
        <v>38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39</v>
      </c>
      <c r="L13" s="1" t="s">
        <v>38</v>
      </c>
      <c r="M13" s="1" t="s">
        <v>39</v>
      </c>
      <c r="N13" s="1" t="s">
        <v>38</v>
      </c>
      <c r="O13" s="1" t="s">
        <v>39</v>
      </c>
      <c r="P13" s="1" t="s">
        <v>38</v>
      </c>
      <c r="Q13" s="1" t="s">
        <v>39</v>
      </c>
      <c r="R13" s="1" t="s">
        <v>38</v>
      </c>
      <c r="S13" s="1" t="s">
        <v>39</v>
      </c>
      <c r="T13" s="1" t="s">
        <v>38</v>
      </c>
      <c r="U13" s="1" t="s">
        <v>39</v>
      </c>
      <c r="V13" s="1" t="s">
        <v>38</v>
      </c>
      <c r="W13" s="1" t="s">
        <v>39</v>
      </c>
      <c r="X13" s="1" t="s">
        <v>38</v>
      </c>
      <c r="Y13" s="1" t="s">
        <v>39</v>
      </c>
      <c r="Z13" s="1" t="s">
        <v>38</v>
      </c>
      <c r="AA13" s="1" t="s">
        <v>39</v>
      </c>
      <c r="AB13" s="1" t="s">
        <v>38</v>
      </c>
      <c r="AC13" s="1" t="s">
        <v>39</v>
      </c>
      <c r="AD13" s="1" t="s">
        <v>38</v>
      </c>
      <c r="AE13" s="1" t="s">
        <v>39</v>
      </c>
      <c r="AF13" s="1" t="s">
        <v>38</v>
      </c>
      <c r="AG13" s="1" t="s">
        <v>39</v>
      </c>
      <c r="AH13" s="1" t="s">
        <v>38</v>
      </c>
      <c r="AI13" s="1" t="s">
        <v>39</v>
      </c>
      <c r="AJ13" s="1" t="s">
        <v>38</v>
      </c>
      <c r="AK13" s="12" t="s">
        <v>39</v>
      </c>
    </row>
    <row r="14" spans="1:37" ht="28.8" x14ac:dyDescent="0.4">
      <c r="A14" s="10" t="s">
        <v>56</v>
      </c>
      <c r="B14" s="3">
        <v>1259901</v>
      </c>
      <c r="C14" s="3">
        <v>2510535</v>
      </c>
      <c r="D14" s="4">
        <v>0</v>
      </c>
      <c r="E14" s="4">
        <v>0</v>
      </c>
      <c r="F14" s="4">
        <v>0</v>
      </c>
      <c r="G14" s="4"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3">
        <v>1259901</v>
      </c>
      <c r="S14" s="3">
        <v>2510535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8"/>
    </row>
    <row r="15" spans="1:37" ht="43.2" x14ac:dyDescent="0.4">
      <c r="A15" s="10" t="s">
        <v>57</v>
      </c>
      <c r="B15" s="3">
        <v>419663</v>
      </c>
      <c r="C15" s="3">
        <v>868276</v>
      </c>
      <c r="D15" s="4">
        <v>0</v>
      </c>
      <c r="E15" s="4">
        <v>0</v>
      </c>
      <c r="F15" s="4">
        <v>0</v>
      </c>
      <c r="G15" s="4"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3">
        <v>419663</v>
      </c>
      <c r="S15" s="3">
        <v>868276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8"/>
    </row>
    <row r="16" spans="1:37" ht="28.8" x14ac:dyDescent="0.4">
      <c r="A16" s="10" t="s">
        <v>58</v>
      </c>
      <c r="B16" s="3">
        <v>116325</v>
      </c>
      <c r="C16" s="3">
        <v>230991</v>
      </c>
      <c r="D16" s="4">
        <v>0</v>
      </c>
      <c r="E16" s="4">
        <v>0</v>
      </c>
      <c r="F16" s="4">
        <v>0</v>
      </c>
      <c r="G16" s="4"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3">
        <v>116325</v>
      </c>
      <c r="S16" s="3">
        <v>230991</v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8"/>
    </row>
    <row r="17" spans="1:37" ht="28.8" x14ac:dyDescent="0.4">
      <c r="A17" s="10" t="s">
        <v>59</v>
      </c>
      <c r="B17" s="3">
        <v>52804</v>
      </c>
      <c r="C17" s="3">
        <v>105766</v>
      </c>
      <c r="D17" s="4">
        <v>0</v>
      </c>
      <c r="E17" s="4">
        <v>0</v>
      </c>
      <c r="F17" s="4">
        <v>0</v>
      </c>
      <c r="G17" s="4"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3">
        <v>52804</v>
      </c>
      <c r="S17" s="3">
        <v>105766</v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8"/>
    </row>
    <row r="18" spans="1:37" ht="28.8" x14ac:dyDescent="0.4">
      <c r="A18" s="10" t="s">
        <v>60</v>
      </c>
      <c r="B18" s="3">
        <v>4226</v>
      </c>
      <c r="C18" s="3">
        <v>8415</v>
      </c>
      <c r="D18" s="4">
        <v>0</v>
      </c>
      <c r="E18" s="4">
        <v>0</v>
      </c>
      <c r="F18" s="4">
        <v>0</v>
      </c>
      <c r="G18" s="4"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3">
        <v>4226</v>
      </c>
      <c r="S18" s="3">
        <v>8415</v>
      </c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8"/>
    </row>
    <row r="19" spans="1:37" ht="28.8" x14ac:dyDescent="0.4">
      <c r="A19" s="10" t="s">
        <v>61</v>
      </c>
      <c r="B19" s="3">
        <v>38192</v>
      </c>
      <c r="C19" s="3">
        <v>76237</v>
      </c>
      <c r="D19" s="4">
        <v>0</v>
      </c>
      <c r="E19" s="4">
        <v>0</v>
      </c>
      <c r="F19" s="4">
        <v>0</v>
      </c>
      <c r="G19" s="4"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3">
        <v>38192</v>
      </c>
      <c r="S19" s="3">
        <v>76237</v>
      </c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8"/>
    </row>
    <row r="20" spans="1:37" ht="43.2" x14ac:dyDescent="0.4">
      <c r="A20" s="10" t="s">
        <v>62</v>
      </c>
      <c r="B20" s="3">
        <v>326342</v>
      </c>
      <c r="C20" s="3">
        <v>648936</v>
      </c>
      <c r="D20" s="4">
        <v>0</v>
      </c>
      <c r="E20" s="4">
        <v>0</v>
      </c>
      <c r="F20" s="4">
        <v>0</v>
      </c>
      <c r="G20" s="4"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3">
        <v>326342</v>
      </c>
      <c r="S20" s="3">
        <v>648936</v>
      </c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8"/>
    </row>
    <row r="21" spans="1:37" ht="28.8" x14ac:dyDescent="0.4">
      <c r="A21" s="10" t="s">
        <v>63</v>
      </c>
      <c r="B21" s="3">
        <v>-26933</v>
      </c>
      <c r="C21" s="3">
        <v>-54674</v>
      </c>
      <c r="D21" s="4">
        <v>0</v>
      </c>
      <c r="E21" s="4">
        <v>0</v>
      </c>
      <c r="F21" s="4">
        <v>0</v>
      </c>
      <c r="G21" s="4"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3">
        <v>-26933</v>
      </c>
      <c r="S21" s="3">
        <v>-54674</v>
      </c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8"/>
    </row>
    <row r="22" spans="1:37" x14ac:dyDescent="0.4">
      <c r="A22" s="11" t="s">
        <v>35</v>
      </c>
      <c r="B22" s="6">
        <v>2190520</v>
      </c>
      <c r="C22" s="6">
        <v>4394482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6">
        <v>547697</v>
      </c>
      <c r="M22" s="6">
        <v>1081536</v>
      </c>
      <c r="N22" s="6">
        <v>1019505</v>
      </c>
      <c r="O22" s="6">
        <v>2029860</v>
      </c>
      <c r="P22" s="6">
        <v>1567202</v>
      </c>
      <c r="Q22" s="6">
        <v>3111396</v>
      </c>
      <c r="R22" s="6">
        <v>3757722</v>
      </c>
      <c r="S22" s="6">
        <v>7505878</v>
      </c>
      <c r="T22" s="22"/>
      <c r="U22" s="22"/>
      <c r="V22" s="22"/>
      <c r="W22" s="22"/>
      <c r="X22" s="22"/>
      <c r="Y22" s="22"/>
      <c r="Z22" s="22"/>
      <c r="AA22" s="22"/>
      <c r="AB22" s="22">
        <v>0</v>
      </c>
      <c r="AC22" s="22">
        <v>0</v>
      </c>
      <c r="AD22" s="6">
        <v>22147</v>
      </c>
      <c r="AE22" s="6">
        <v>50913</v>
      </c>
      <c r="AF22" s="22">
        <v>0</v>
      </c>
      <c r="AG22" s="22">
        <v>0</v>
      </c>
      <c r="AH22" s="6">
        <v>22147</v>
      </c>
      <c r="AI22" s="6">
        <v>50913</v>
      </c>
      <c r="AJ22" s="6">
        <v>22147</v>
      </c>
      <c r="AK22" s="7">
        <v>50913</v>
      </c>
    </row>
    <row r="23" spans="1:37" x14ac:dyDescent="0.4">
      <c r="A23" s="17"/>
    </row>
    <row r="24" spans="1:37" ht="28.8" x14ac:dyDescent="0.4">
      <c r="A24" s="18" t="s">
        <v>64</v>
      </c>
      <c r="C24" s="2">
        <f>C20-C97</f>
        <v>650349</v>
      </c>
    </row>
    <row r="25" spans="1:37" x14ac:dyDescent="0.4">
      <c r="A25" s="17"/>
    </row>
    <row r="26" spans="1:37" x14ac:dyDescent="0.4">
      <c r="A26" s="19" t="s">
        <v>64</v>
      </c>
      <c r="B26" s="19"/>
    </row>
    <row r="27" spans="1:37" ht="28.8" x14ac:dyDescent="0.4">
      <c r="A27" s="17" t="s">
        <v>42</v>
      </c>
      <c r="B27" s="13" t="s">
        <v>37</v>
      </c>
    </row>
    <row r="28" spans="1:37" x14ac:dyDescent="0.4">
      <c r="A28" s="20"/>
      <c r="B28" s="14" t="s">
        <v>43</v>
      </c>
      <c r="C28" s="23"/>
      <c r="D28" s="23"/>
      <c r="E28" s="23"/>
      <c r="F28" s="23"/>
      <c r="G28" s="23"/>
      <c r="H28" s="23"/>
      <c r="I28" s="15"/>
    </row>
    <row r="29" spans="1:37" x14ac:dyDescent="0.4">
      <c r="A29" s="21"/>
      <c r="B29" s="24" t="s">
        <v>44</v>
      </c>
      <c r="C29" s="25"/>
      <c r="D29" s="25"/>
      <c r="E29" s="25"/>
      <c r="F29" s="25"/>
      <c r="G29" s="25"/>
      <c r="H29" s="25"/>
      <c r="I29" s="26"/>
    </row>
    <row r="30" spans="1:37" x14ac:dyDescent="0.4">
      <c r="A30" s="21"/>
      <c r="B30" s="24" t="s">
        <v>51</v>
      </c>
      <c r="C30" s="25"/>
      <c r="D30" s="25"/>
      <c r="E30" s="25"/>
      <c r="F30" s="25"/>
      <c r="G30" s="27"/>
      <c r="H30" s="28" t="s">
        <v>52</v>
      </c>
      <c r="I30" s="34"/>
    </row>
    <row r="31" spans="1:37" x14ac:dyDescent="0.4">
      <c r="A31" s="21"/>
      <c r="B31" s="24" t="s">
        <v>53</v>
      </c>
      <c r="C31" s="27"/>
      <c r="D31" s="24" t="s">
        <v>54</v>
      </c>
      <c r="E31" s="27"/>
      <c r="F31" s="24" t="s">
        <v>55</v>
      </c>
      <c r="G31" s="27"/>
      <c r="H31" s="32"/>
      <c r="I31" s="36"/>
    </row>
    <row r="32" spans="1:37" x14ac:dyDescent="0.4">
      <c r="A32" s="21"/>
      <c r="B32" s="1" t="s">
        <v>38</v>
      </c>
      <c r="C32" s="1" t="s">
        <v>39</v>
      </c>
      <c r="D32" s="1" t="s">
        <v>38</v>
      </c>
      <c r="E32" s="1" t="s">
        <v>39</v>
      </c>
      <c r="F32" s="1" t="s">
        <v>38</v>
      </c>
      <c r="G32" s="1" t="s">
        <v>39</v>
      </c>
      <c r="H32" s="1" t="s">
        <v>38</v>
      </c>
      <c r="I32" s="12" t="s">
        <v>39</v>
      </c>
    </row>
    <row r="33" spans="1:17" x14ac:dyDescent="0.4">
      <c r="A33" s="11" t="s">
        <v>35</v>
      </c>
      <c r="B33" s="6">
        <v>2190520</v>
      </c>
      <c r="C33" s="6">
        <v>4394482</v>
      </c>
      <c r="D33" s="6">
        <v>569844</v>
      </c>
      <c r="E33" s="6">
        <v>1132449</v>
      </c>
      <c r="F33" s="6">
        <v>1019505</v>
      </c>
      <c r="G33" s="6">
        <v>2029860</v>
      </c>
      <c r="H33" s="6">
        <v>3779869</v>
      </c>
      <c r="I33" s="7">
        <v>7556791</v>
      </c>
    </row>
    <row r="34" spans="1:17" x14ac:dyDescent="0.4">
      <c r="A34" s="17"/>
    </row>
    <row r="35" spans="1:17" x14ac:dyDescent="0.4">
      <c r="A35" s="17"/>
    </row>
    <row r="36" spans="1:17" x14ac:dyDescent="0.4">
      <c r="A36" s="19" t="s">
        <v>65</v>
      </c>
      <c r="B36" s="19"/>
    </row>
    <row r="37" spans="1:17" ht="28.8" x14ac:dyDescent="0.4">
      <c r="A37" s="17" t="s">
        <v>42</v>
      </c>
      <c r="B37" s="13" t="s">
        <v>37</v>
      </c>
    </row>
    <row r="38" spans="1:17" x14ac:dyDescent="0.4">
      <c r="A38" s="20"/>
      <c r="B38" s="14" t="s">
        <v>43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15"/>
    </row>
    <row r="39" spans="1:17" x14ac:dyDescent="0.4">
      <c r="A39" s="21"/>
      <c r="B39" s="24" t="s">
        <v>44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6"/>
    </row>
    <row r="40" spans="1:17" x14ac:dyDescent="0.4">
      <c r="A40" s="21"/>
      <c r="B40" s="24" t="s">
        <v>45</v>
      </c>
      <c r="C40" s="25"/>
      <c r="D40" s="25"/>
      <c r="E40" s="25"/>
      <c r="F40" s="25"/>
      <c r="G40" s="25"/>
      <c r="H40" s="25"/>
      <c r="I40" s="27"/>
      <c r="J40" s="24" t="s">
        <v>46</v>
      </c>
      <c r="K40" s="25"/>
      <c r="L40" s="25"/>
      <c r="M40" s="25"/>
      <c r="N40" s="25"/>
      <c r="O40" s="25"/>
      <c r="P40" s="25"/>
      <c r="Q40" s="26"/>
    </row>
    <row r="41" spans="1:17" x14ac:dyDescent="0.4">
      <c r="A41" s="21"/>
      <c r="B41" s="24" t="s">
        <v>51</v>
      </c>
      <c r="C41" s="25"/>
      <c r="D41" s="25"/>
      <c r="E41" s="25"/>
      <c r="F41" s="25"/>
      <c r="G41" s="27"/>
      <c r="H41" s="28" t="s">
        <v>52</v>
      </c>
      <c r="I41" s="29"/>
      <c r="J41" s="24" t="s">
        <v>51</v>
      </c>
      <c r="K41" s="25"/>
      <c r="L41" s="25"/>
      <c r="M41" s="25"/>
      <c r="N41" s="25"/>
      <c r="O41" s="27"/>
      <c r="P41" s="28" t="s">
        <v>52</v>
      </c>
      <c r="Q41" s="34"/>
    </row>
    <row r="42" spans="1:17" x14ac:dyDescent="0.4">
      <c r="A42" s="21"/>
      <c r="B42" s="24" t="s">
        <v>53</v>
      </c>
      <c r="C42" s="27"/>
      <c r="D42" s="24" t="s">
        <v>54</v>
      </c>
      <c r="E42" s="27"/>
      <c r="F42" s="24" t="s">
        <v>55</v>
      </c>
      <c r="G42" s="27"/>
      <c r="H42" s="32"/>
      <c r="I42" s="33"/>
      <c r="J42" s="24" t="s">
        <v>53</v>
      </c>
      <c r="K42" s="27"/>
      <c r="L42" s="24" t="s">
        <v>54</v>
      </c>
      <c r="M42" s="27"/>
      <c r="N42" s="24" t="s">
        <v>55</v>
      </c>
      <c r="O42" s="27"/>
      <c r="P42" s="32"/>
      <c r="Q42" s="36"/>
    </row>
    <row r="43" spans="1:17" x14ac:dyDescent="0.4">
      <c r="A43" s="21"/>
      <c r="B43" s="1" t="s">
        <v>38</v>
      </c>
      <c r="C43" s="1" t="s">
        <v>39</v>
      </c>
      <c r="D43" s="1" t="s">
        <v>38</v>
      </c>
      <c r="E43" s="1" t="s">
        <v>39</v>
      </c>
      <c r="F43" s="1" t="s">
        <v>38</v>
      </c>
      <c r="G43" s="1" t="s">
        <v>39</v>
      </c>
      <c r="H43" s="1" t="s">
        <v>38</v>
      </c>
      <c r="I43" s="1" t="s">
        <v>39</v>
      </c>
      <c r="J43" s="1" t="s">
        <v>38</v>
      </c>
      <c r="K43" s="1" t="s">
        <v>39</v>
      </c>
      <c r="L43" s="1" t="s">
        <v>38</v>
      </c>
      <c r="M43" s="1" t="s">
        <v>39</v>
      </c>
      <c r="N43" s="1" t="s">
        <v>38</v>
      </c>
      <c r="O43" s="1" t="s">
        <v>39</v>
      </c>
      <c r="P43" s="1" t="s">
        <v>38</v>
      </c>
      <c r="Q43" s="12" t="s">
        <v>39</v>
      </c>
    </row>
    <row r="44" spans="1:17" ht="28.8" x14ac:dyDescent="0.4">
      <c r="A44" s="10" t="s">
        <v>66</v>
      </c>
      <c r="B44" s="3">
        <v>1218692</v>
      </c>
      <c r="C44" s="3">
        <v>2443900</v>
      </c>
      <c r="D44" s="3">
        <v>537762</v>
      </c>
      <c r="E44" s="3">
        <v>848129</v>
      </c>
      <c r="F44" s="3">
        <v>758839</v>
      </c>
      <c r="G44" s="3">
        <v>1499937</v>
      </c>
      <c r="H44" s="3">
        <v>2515293</v>
      </c>
      <c r="I44" s="3">
        <v>4791966</v>
      </c>
      <c r="J44" s="4">
        <v>0</v>
      </c>
      <c r="K44" s="4">
        <v>0</v>
      </c>
      <c r="L44" s="3">
        <v>106937</v>
      </c>
      <c r="M44" s="3">
        <v>224089</v>
      </c>
      <c r="N44" s="4">
        <v>0</v>
      </c>
      <c r="O44" s="4">
        <v>0</v>
      </c>
      <c r="P44" s="3">
        <v>106937</v>
      </c>
      <c r="Q44" s="5">
        <v>224089</v>
      </c>
    </row>
    <row r="45" spans="1:17" x14ac:dyDescent="0.4">
      <c r="A45" s="10" t="s">
        <v>67</v>
      </c>
      <c r="B45" s="3">
        <v>419663</v>
      </c>
      <c r="C45" s="3">
        <v>868276</v>
      </c>
      <c r="D45" s="3">
        <v>102139</v>
      </c>
      <c r="E45" s="3">
        <v>210228</v>
      </c>
      <c r="F45" s="4">
        <v>0</v>
      </c>
      <c r="G45" s="4">
        <v>0</v>
      </c>
      <c r="H45" s="3">
        <v>521802</v>
      </c>
      <c r="I45" s="3">
        <v>1078504</v>
      </c>
      <c r="J45" s="4"/>
      <c r="K45" s="4"/>
      <c r="L45" s="4"/>
      <c r="M45" s="4"/>
      <c r="N45" s="4"/>
      <c r="O45" s="4"/>
      <c r="P45" s="4"/>
      <c r="Q45" s="8"/>
    </row>
    <row r="46" spans="1:17" x14ac:dyDescent="0.4">
      <c r="A46" s="10" t="s">
        <v>68</v>
      </c>
      <c r="B46" s="4">
        <v>0</v>
      </c>
      <c r="C46" s="4">
        <v>0</v>
      </c>
      <c r="D46" s="4">
        <v>559</v>
      </c>
      <c r="E46" s="3">
        <v>1078</v>
      </c>
      <c r="F46" s="3">
        <v>108809</v>
      </c>
      <c r="G46" s="3">
        <v>217528</v>
      </c>
      <c r="H46" s="3">
        <v>109368</v>
      </c>
      <c r="I46" s="3">
        <v>218606</v>
      </c>
      <c r="J46" s="4"/>
      <c r="K46" s="4"/>
      <c r="L46" s="4"/>
      <c r="M46" s="4"/>
      <c r="N46" s="4"/>
      <c r="O46" s="4"/>
      <c r="P46" s="4"/>
      <c r="Q46" s="8"/>
    </row>
    <row r="47" spans="1:17" ht="28.8" x14ac:dyDescent="0.4">
      <c r="A47" s="10" t="s">
        <v>69</v>
      </c>
      <c r="B47" s="3">
        <v>120452</v>
      </c>
      <c r="C47" s="3">
        <v>238343</v>
      </c>
      <c r="D47" s="3">
        <v>16455</v>
      </c>
      <c r="E47" s="3">
        <v>38048</v>
      </c>
      <c r="F47" s="3">
        <v>38283</v>
      </c>
      <c r="G47" s="3">
        <v>75331</v>
      </c>
      <c r="H47" s="3">
        <v>175190</v>
      </c>
      <c r="I47" s="3">
        <v>351722</v>
      </c>
      <c r="J47" s="4">
        <v>0</v>
      </c>
      <c r="K47" s="4">
        <v>0</v>
      </c>
      <c r="L47" s="4">
        <v>31</v>
      </c>
      <c r="M47" s="4">
        <v>67</v>
      </c>
      <c r="N47" s="4">
        <v>0</v>
      </c>
      <c r="O47" s="4">
        <v>0</v>
      </c>
      <c r="P47" s="4">
        <v>31</v>
      </c>
      <c r="Q47" s="8">
        <v>67</v>
      </c>
    </row>
    <row r="48" spans="1:17" ht="28.8" x14ac:dyDescent="0.4">
      <c r="A48" s="10" t="s">
        <v>70</v>
      </c>
      <c r="B48" s="3">
        <v>51891</v>
      </c>
      <c r="C48" s="3">
        <v>108428</v>
      </c>
      <c r="D48" s="3">
        <v>59039</v>
      </c>
      <c r="E48" s="3">
        <v>106264</v>
      </c>
      <c r="F48" s="3">
        <v>73598</v>
      </c>
      <c r="G48" s="3">
        <v>147141</v>
      </c>
      <c r="H48" s="3">
        <v>184528</v>
      </c>
      <c r="I48" s="3">
        <v>361833</v>
      </c>
      <c r="J48" s="4">
        <v>0</v>
      </c>
      <c r="K48" s="4">
        <v>0</v>
      </c>
      <c r="L48" s="4">
        <v>191</v>
      </c>
      <c r="M48" s="4">
        <v>514</v>
      </c>
      <c r="N48" s="4">
        <v>0</v>
      </c>
      <c r="O48" s="4">
        <v>0</v>
      </c>
      <c r="P48" s="4">
        <v>191</v>
      </c>
      <c r="Q48" s="8">
        <v>514</v>
      </c>
    </row>
    <row r="49" spans="1:17" ht="28.8" x14ac:dyDescent="0.4">
      <c r="A49" s="10" t="s">
        <v>71</v>
      </c>
      <c r="B49" s="3">
        <v>4202</v>
      </c>
      <c r="C49" s="3">
        <v>10266</v>
      </c>
      <c r="D49" s="4">
        <v>0</v>
      </c>
      <c r="E49" s="4">
        <v>0</v>
      </c>
      <c r="F49" s="4">
        <v>0</v>
      </c>
      <c r="G49" s="4">
        <v>0</v>
      </c>
      <c r="H49" s="3">
        <v>4202</v>
      </c>
      <c r="I49" s="3">
        <v>10266</v>
      </c>
      <c r="J49" s="4"/>
      <c r="K49" s="4"/>
      <c r="L49" s="4"/>
      <c r="M49" s="4"/>
      <c r="N49" s="4"/>
      <c r="O49" s="4"/>
      <c r="P49" s="4"/>
      <c r="Q49" s="8"/>
    </row>
    <row r="50" spans="1:17" ht="28.8" x14ac:dyDescent="0.4">
      <c r="A50" s="10" t="s">
        <v>72</v>
      </c>
      <c r="B50" s="4"/>
      <c r="C50" s="4"/>
      <c r="D50" s="4"/>
      <c r="E50" s="4"/>
      <c r="F50" s="4"/>
      <c r="G50" s="4"/>
      <c r="H50" s="4"/>
      <c r="I50" s="4"/>
      <c r="J50" s="4">
        <v>0</v>
      </c>
      <c r="K50" s="4">
        <v>0</v>
      </c>
      <c r="L50" s="4">
        <v>-140</v>
      </c>
      <c r="M50" s="4">
        <v>72</v>
      </c>
      <c r="N50" s="4">
        <v>0</v>
      </c>
      <c r="O50" s="4">
        <v>0</v>
      </c>
      <c r="P50" s="4">
        <v>-140</v>
      </c>
      <c r="Q50" s="8">
        <v>72</v>
      </c>
    </row>
    <row r="51" spans="1:17" ht="28.8" x14ac:dyDescent="0.4">
      <c r="A51" s="10" t="s">
        <v>73</v>
      </c>
      <c r="B51" s="3">
        <v>36190</v>
      </c>
      <c r="C51" s="3">
        <v>-13642</v>
      </c>
      <c r="D51" s="3">
        <v>-1400</v>
      </c>
      <c r="E51" s="4">
        <v>-877</v>
      </c>
      <c r="F51" s="4">
        <v>0</v>
      </c>
      <c r="G51" s="4">
        <v>-293</v>
      </c>
      <c r="H51" s="3">
        <v>34790</v>
      </c>
      <c r="I51" s="3">
        <v>-14812</v>
      </c>
      <c r="J51" s="4">
        <v>0</v>
      </c>
      <c r="K51" s="4">
        <v>0</v>
      </c>
      <c r="L51" s="4">
        <v>-7</v>
      </c>
      <c r="M51" s="4">
        <v>-21</v>
      </c>
      <c r="N51" s="4">
        <v>0</v>
      </c>
      <c r="O51" s="4">
        <v>0</v>
      </c>
      <c r="P51" s="4">
        <v>-7</v>
      </c>
      <c r="Q51" s="8">
        <v>-21</v>
      </c>
    </row>
    <row r="52" spans="1:17" x14ac:dyDescent="0.4">
      <c r="A52" s="10" t="s">
        <v>74</v>
      </c>
      <c r="B52" s="3">
        <v>109252</v>
      </c>
      <c r="C52" s="3">
        <v>116917</v>
      </c>
      <c r="D52" s="3">
        <v>-34083</v>
      </c>
      <c r="E52" s="3">
        <v>12193</v>
      </c>
      <c r="F52" s="4">
        <v>-789</v>
      </c>
      <c r="G52" s="3">
        <v>-4135</v>
      </c>
      <c r="H52" s="3">
        <v>74380</v>
      </c>
      <c r="I52" s="3">
        <v>124975</v>
      </c>
      <c r="J52" s="4">
        <v>0</v>
      </c>
      <c r="K52" s="4">
        <v>0</v>
      </c>
      <c r="L52" s="3">
        <v>-80087</v>
      </c>
      <c r="M52" s="3">
        <v>-172682</v>
      </c>
      <c r="N52" s="4">
        <v>0</v>
      </c>
      <c r="O52" s="4">
        <v>0</v>
      </c>
      <c r="P52" s="3">
        <v>-80087</v>
      </c>
      <c r="Q52" s="5">
        <v>-172682</v>
      </c>
    </row>
    <row r="53" spans="1:17" ht="28.8" x14ac:dyDescent="0.4">
      <c r="A53" s="10" t="s">
        <v>75</v>
      </c>
      <c r="B53" s="3">
        <v>-26933</v>
      </c>
      <c r="C53" s="3">
        <v>-54674</v>
      </c>
      <c r="D53" s="4">
        <v>0</v>
      </c>
      <c r="E53" s="4">
        <v>0</v>
      </c>
      <c r="F53" s="4">
        <v>0</v>
      </c>
      <c r="G53" s="4">
        <v>0</v>
      </c>
      <c r="H53" s="3">
        <v>-26933</v>
      </c>
      <c r="I53" s="3">
        <v>-54674</v>
      </c>
      <c r="J53" s="4"/>
      <c r="K53" s="4"/>
      <c r="L53" s="4"/>
      <c r="M53" s="4"/>
      <c r="N53" s="4"/>
      <c r="O53" s="4"/>
      <c r="P53" s="4"/>
      <c r="Q53" s="8"/>
    </row>
    <row r="54" spans="1:17" ht="28.8" x14ac:dyDescent="0.4">
      <c r="A54" s="10" t="s">
        <v>76</v>
      </c>
      <c r="B54" s="3">
        <v>-15771</v>
      </c>
      <c r="C54" s="3">
        <v>-21194</v>
      </c>
      <c r="D54" s="4">
        <v>0</v>
      </c>
      <c r="E54" s="4">
        <v>0</v>
      </c>
      <c r="F54" s="4">
        <v>0</v>
      </c>
      <c r="G54" s="4">
        <v>0</v>
      </c>
      <c r="H54" s="3">
        <v>-15771</v>
      </c>
      <c r="I54" s="3">
        <v>-21194</v>
      </c>
      <c r="J54" s="4"/>
      <c r="K54" s="4"/>
      <c r="L54" s="4"/>
      <c r="M54" s="4"/>
      <c r="N54" s="4"/>
      <c r="O54" s="4"/>
      <c r="P54" s="4"/>
      <c r="Q54" s="8"/>
    </row>
    <row r="55" spans="1:17" ht="28.8" x14ac:dyDescent="0.4">
      <c r="A55" s="11" t="s">
        <v>77</v>
      </c>
      <c r="B55" s="6">
        <v>1917638</v>
      </c>
      <c r="C55" s="6">
        <v>3696620</v>
      </c>
      <c r="D55" s="6">
        <v>680471</v>
      </c>
      <c r="E55" s="6">
        <v>1215063</v>
      </c>
      <c r="F55" s="6">
        <v>978740</v>
      </c>
      <c r="G55" s="6">
        <v>1935509</v>
      </c>
      <c r="H55" s="6">
        <v>3576849</v>
      </c>
      <c r="I55" s="6">
        <v>6847192</v>
      </c>
      <c r="J55" s="22">
        <v>0</v>
      </c>
      <c r="K55" s="22">
        <v>0</v>
      </c>
      <c r="L55" s="6">
        <v>26925</v>
      </c>
      <c r="M55" s="6">
        <v>52039</v>
      </c>
      <c r="N55" s="22">
        <v>0</v>
      </c>
      <c r="O55" s="22">
        <v>0</v>
      </c>
      <c r="P55" s="6">
        <v>26925</v>
      </c>
      <c r="Q55" s="7">
        <v>52039</v>
      </c>
    </row>
    <row r="56" spans="1:17" x14ac:dyDescent="0.4">
      <c r="A56" s="17"/>
    </row>
    <row r="57" spans="1:17" ht="28.8" x14ac:dyDescent="0.4">
      <c r="A57" s="18" t="s">
        <v>78</v>
      </c>
    </row>
    <row r="58" spans="1:17" x14ac:dyDescent="0.4">
      <c r="A58" s="17"/>
    </row>
    <row r="59" spans="1:17" ht="28.8" customHeight="1" x14ac:dyDescent="0.4">
      <c r="A59" s="19" t="s">
        <v>78</v>
      </c>
      <c r="B59" s="19"/>
    </row>
    <row r="60" spans="1:17" ht="28.8" x14ac:dyDescent="0.4">
      <c r="A60" s="17" t="s">
        <v>42</v>
      </c>
      <c r="B60" s="13" t="s">
        <v>37</v>
      </c>
    </row>
    <row r="61" spans="1:17" x14ac:dyDescent="0.4">
      <c r="A61" s="20"/>
      <c r="B61" s="14" t="s">
        <v>43</v>
      </c>
      <c r="C61" s="23"/>
      <c r="D61" s="23"/>
      <c r="E61" s="23"/>
      <c r="F61" s="23"/>
      <c r="G61" s="23"/>
      <c r="H61" s="23"/>
      <c r="I61" s="15"/>
    </row>
    <row r="62" spans="1:17" x14ac:dyDescent="0.4">
      <c r="A62" s="21"/>
      <c r="B62" s="24" t="s">
        <v>44</v>
      </c>
      <c r="C62" s="25"/>
      <c r="D62" s="25"/>
      <c r="E62" s="25"/>
      <c r="F62" s="25"/>
      <c r="G62" s="25"/>
      <c r="H62" s="25"/>
      <c r="I62" s="26"/>
    </row>
    <row r="63" spans="1:17" x14ac:dyDescent="0.4">
      <c r="A63" s="21"/>
      <c r="B63" s="24" t="s">
        <v>51</v>
      </c>
      <c r="C63" s="25"/>
      <c r="D63" s="25"/>
      <c r="E63" s="25"/>
      <c r="F63" s="25"/>
      <c r="G63" s="27"/>
      <c r="H63" s="28" t="s">
        <v>52</v>
      </c>
      <c r="I63" s="34"/>
    </row>
    <row r="64" spans="1:17" x14ac:dyDescent="0.4">
      <c r="A64" s="21"/>
      <c r="B64" s="24" t="s">
        <v>53</v>
      </c>
      <c r="C64" s="27"/>
      <c r="D64" s="24" t="s">
        <v>54</v>
      </c>
      <c r="E64" s="27"/>
      <c r="F64" s="24" t="s">
        <v>55</v>
      </c>
      <c r="G64" s="27"/>
      <c r="H64" s="32"/>
      <c r="I64" s="36"/>
    </row>
    <row r="65" spans="1:9" x14ac:dyDescent="0.4">
      <c r="A65" s="21"/>
      <c r="B65" s="1" t="s">
        <v>38</v>
      </c>
      <c r="C65" s="1" t="s">
        <v>39</v>
      </c>
      <c r="D65" s="1" t="s">
        <v>38</v>
      </c>
      <c r="E65" s="1" t="s">
        <v>39</v>
      </c>
      <c r="F65" s="1" t="s">
        <v>38</v>
      </c>
      <c r="G65" s="1" t="s">
        <v>39</v>
      </c>
      <c r="H65" s="1" t="s">
        <v>38</v>
      </c>
      <c r="I65" s="12" t="s">
        <v>39</v>
      </c>
    </row>
    <row r="66" spans="1:9" x14ac:dyDescent="0.4">
      <c r="A66" s="11" t="s">
        <v>79</v>
      </c>
      <c r="B66" s="6">
        <v>1917638</v>
      </c>
      <c r="C66" s="6">
        <v>3696620</v>
      </c>
      <c r="D66" s="6">
        <v>707396</v>
      </c>
      <c r="E66" s="6">
        <v>1267102</v>
      </c>
      <c r="F66" s="6">
        <v>978740</v>
      </c>
      <c r="G66" s="6">
        <v>1935509</v>
      </c>
      <c r="H66" s="6">
        <v>3603774</v>
      </c>
      <c r="I66" s="7">
        <v>6899231</v>
      </c>
    </row>
    <row r="67" spans="1:9" x14ac:dyDescent="0.4">
      <c r="A67" s="17"/>
    </row>
    <row r="68" spans="1:9" x14ac:dyDescent="0.4">
      <c r="A68" s="16" t="s">
        <v>80</v>
      </c>
    </row>
    <row r="69" spans="1:9" x14ac:dyDescent="0.4">
      <c r="A69" s="17"/>
    </row>
    <row r="70" spans="1:9" x14ac:dyDescent="0.4">
      <c r="A70" s="19" t="s">
        <v>81</v>
      </c>
      <c r="B70" s="19"/>
    </row>
    <row r="71" spans="1:9" ht="28.8" x14ac:dyDescent="0.4">
      <c r="A71" s="17" t="s">
        <v>42</v>
      </c>
      <c r="B71" s="13" t="s">
        <v>37</v>
      </c>
    </row>
    <row r="72" spans="1:9" x14ac:dyDescent="0.4">
      <c r="A72" s="20"/>
      <c r="B72" s="14" t="s">
        <v>43</v>
      </c>
      <c r="C72" s="23"/>
      <c r="D72" s="23"/>
      <c r="E72" s="23"/>
      <c r="F72" s="23"/>
      <c r="G72" s="23"/>
      <c r="H72" s="23"/>
      <c r="I72" s="15"/>
    </row>
    <row r="73" spans="1:9" x14ac:dyDescent="0.4">
      <c r="A73" s="21"/>
      <c r="B73" s="24" t="s">
        <v>82</v>
      </c>
      <c r="C73" s="25"/>
      <c r="D73" s="25"/>
      <c r="E73" s="25"/>
      <c r="F73" s="25"/>
      <c r="G73" s="25"/>
      <c r="H73" s="25"/>
      <c r="I73" s="26"/>
    </row>
    <row r="74" spans="1:9" x14ac:dyDescent="0.4">
      <c r="A74" s="21"/>
      <c r="B74" s="24" t="s">
        <v>51</v>
      </c>
      <c r="C74" s="25"/>
      <c r="D74" s="25"/>
      <c r="E74" s="25"/>
      <c r="F74" s="25"/>
      <c r="G74" s="27"/>
      <c r="H74" s="28" t="s">
        <v>52</v>
      </c>
      <c r="I74" s="34"/>
    </row>
    <row r="75" spans="1:9" x14ac:dyDescent="0.4">
      <c r="A75" s="21"/>
      <c r="B75" s="24" t="s">
        <v>53</v>
      </c>
      <c r="C75" s="27"/>
      <c r="D75" s="24" t="s">
        <v>54</v>
      </c>
      <c r="E75" s="27"/>
      <c r="F75" s="24" t="s">
        <v>55</v>
      </c>
      <c r="G75" s="27"/>
      <c r="H75" s="32"/>
      <c r="I75" s="36"/>
    </row>
    <row r="76" spans="1:9" x14ac:dyDescent="0.4">
      <c r="A76" s="21"/>
      <c r="B76" s="1" t="s">
        <v>38</v>
      </c>
      <c r="C76" s="1" t="s">
        <v>39</v>
      </c>
      <c r="D76" s="1" t="s">
        <v>38</v>
      </c>
      <c r="E76" s="1" t="s">
        <v>39</v>
      </c>
      <c r="F76" s="1" t="s">
        <v>38</v>
      </c>
      <c r="G76" s="1" t="s">
        <v>39</v>
      </c>
      <c r="H76" s="1" t="s">
        <v>38</v>
      </c>
      <c r="I76" s="12" t="s">
        <v>39</v>
      </c>
    </row>
    <row r="77" spans="1:9" x14ac:dyDescent="0.4">
      <c r="A77" s="10" t="s">
        <v>83</v>
      </c>
      <c r="B77" s="3">
        <v>18293</v>
      </c>
      <c r="C77" s="3">
        <v>33210</v>
      </c>
      <c r="D77" s="3">
        <v>310952</v>
      </c>
      <c r="E77" s="3">
        <v>395477</v>
      </c>
      <c r="F77" s="4">
        <v>-56</v>
      </c>
      <c r="G77" s="4">
        <v>96</v>
      </c>
      <c r="H77" s="3">
        <v>329189</v>
      </c>
      <c r="I77" s="5">
        <v>428783</v>
      </c>
    </row>
    <row r="78" spans="1:9" ht="28.8" x14ac:dyDescent="0.4">
      <c r="A78" s="10" t="s">
        <v>84</v>
      </c>
      <c r="B78" s="3">
        <v>2044</v>
      </c>
      <c r="C78" s="3">
        <v>4103</v>
      </c>
      <c r="D78" s="3">
        <v>9790</v>
      </c>
      <c r="E78" s="3">
        <v>15430</v>
      </c>
      <c r="F78" s="4">
        <v>0</v>
      </c>
      <c r="G78" s="4">
        <v>0</v>
      </c>
      <c r="H78" s="3">
        <v>11834</v>
      </c>
      <c r="I78" s="5">
        <v>19533</v>
      </c>
    </row>
    <row r="79" spans="1:9" x14ac:dyDescent="0.4">
      <c r="A79" s="10" t="s">
        <v>85</v>
      </c>
      <c r="B79" s="3">
        <v>1026</v>
      </c>
      <c r="C79" s="3">
        <v>-2424</v>
      </c>
      <c r="D79" s="4">
        <v>-500</v>
      </c>
      <c r="E79" s="4">
        <v>-349</v>
      </c>
      <c r="F79" s="4">
        <v>0</v>
      </c>
      <c r="G79" s="4">
        <v>0</v>
      </c>
      <c r="H79" s="4">
        <v>526</v>
      </c>
      <c r="I79" s="5">
        <v>-2773</v>
      </c>
    </row>
    <row r="80" spans="1:9" x14ac:dyDescent="0.4">
      <c r="A80" s="10" t="s">
        <v>86</v>
      </c>
      <c r="B80" s="3">
        <v>26945</v>
      </c>
      <c r="C80" s="3">
        <v>41154</v>
      </c>
      <c r="D80" s="3">
        <v>-13399</v>
      </c>
      <c r="E80" s="3">
        <v>50536</v>
      </c>
      <c r="F80" s="4">
        <v>46</v>
      </c>
      <c r="G80" s="4">
        <v>79</v>
      </c>
      <c r="H80" s="3">
        <v>13592</v>
      </c>
      <c r="I80" s="5">
        <v>91769</v>
      </c>
    </row>
    <row r="81" spans="1:19" ht="28.8" x14ac:dyDescent="0.4">
      <c r="A81" s="10" t="s">
        <v>87</v>
      </c>
      <c r="B81" s="4">
        <v>-23</v>
      </c>
      <c r="C81" s="4">
        <v>-61</v>
      </c>
      <c r="D81" s="4">
        <v>0</v>
      </c>
      <c r="E81" s="4">
        <v>0</v>
      </c>
      <c r="F81" s="4">
        <v>0</v>
      </c>
      <c r="G81" s="4">
        <v>0</v>
      </c>
      <c r="H81" s="4">
        <v>-23</v>
      </c>
      <c r="I81" s="8">
        <v>-61</v>
      </c>
    </row>
    <row r="82" spans="1:19" x14ac:dyDescent="0.4">
      <c r="A82" s="10" t="s">
        <v>88</v>
      </c>
      <c r="B82" s="3">
        <v>7429</v>
      </c>
      <c r="C82" s="3">
        <v>15850</v>
      </c>
      <c r="D82" s="4">
        <v>0</v>
      </c>
      <c r="E82" s="4">
        <v>0</v>
      </c>
      <c r="F82" s="4">
        <v>0</v>
      </c>
      <c r="G82" s="4">
        <v>0</v>
      </c>
      <c r="H82" s="3">
        <v>7429</v>
      </c>
      <c r="I82" s="5">
        <v>15850</v>
      </c>
    </row>
    <row r="83" spans="1:19" ht="28.8" x14ac:dyDescent="0.4">
      <c r="A83" s="11" t="s">
        <v>89</v>
      </c>
      <c r="B83" s="6">
        <v>55714</v>
      </c>
      <c r="C83" s="6">
        <v>91832</v>
      </c>
      <c r="D83" s="6">
        <v>306843</v>
      </c>
      <c r="E83" s="6">
        <v>461094</v>
      </c>
      <c r="F83" s="22">
        <v>-10</v>
      </c>
      <c r="G83" s="22">
        <v>175</v>
      </c>
      <c r="H83" s="6">
        <v>362547</v>
      </c>
      <c r="I83" s="7">
        <v>553101</v>
      </c>
    </row>
    <row r="84" spans="1:19" x14ac:dyDescent="0.4">
      <c r="A84" s="17"/>
    </row>
    <row r="85" spans="1:19" x14ac:dyDescent="0.4">
      <c r="A85" s="19" t="s">
        <v>90</v>
      </c>
      <c r="B85" s="19"/>
    </row>
    <row r="86" spans="1:19" ht="28.8" x14ac:dyDescent="0.4">
      <c r="A86" s="17" t="s">
        <v>42</v>
      </c>
      <c r="B86" s="13" t="s">
        <v>37</v>
      </c>
    </row>
    <row r="87" spans="1:19" x14ac:dyDescent="0.4">
      <c r="A87" s="20"/>
      <c r="B87" s="14" t="s">
        <v>43</v>
      </c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15"/>
    </row>
    <row r="88" spans="1:19" x14ac:dyDescent="0.4">
      <c r="A88" s="21"/>
      <c r="B88" s="24" t="s">
        <v>82</v>
      </c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6"/>
    </row>
    <row r="89" spans="1:19" x14ac:dyDescent="0.4">
      <c r="A89" s="21"/>
      <c r="B89" s="24" t="s">
        <v>47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7"/>
      <c r="R89" s="28" t="s">
        <v>48</v>
      </c>
      <c r="S89" s="34"/>
    </row>
    <row r="90" spans="1:19" x14ac:dyDescent="0.4">
      <c r="A90" s="21"/>
      <c r="B90" s="24" t="s">
        <v>49</v>
      </c>
      <c r="C90" s="25"/>
      <c r="D90" s="25"/>
      <c r="E90" s="25"/>
      <c r="F90" s="25"/>
      <c r="G90" s="25"/>
      <c r="H90" s="25"/>
      <c r="I90" s="27"/>
      <c r="J90" s="24" t="s">
        <v>50</v>
      </c>
      <c r="K90" s="25"/>
      <c r="L90" s="25"/>
      <c r="M90" s="25"/>
      <c r="N90" s="25"/>
      <c r="O90" s="25"/>
      <c r="P90" s="25"/>
      <c r="Q90" s="27"/>
      <c r="R90" s="30"/>
      <c r="S90" s="35"/>
    </row>
    <row r="91" spans="1:19" x14ac:dyDescent="0.4">
      <c r="A91" s="21"/>
      <c r="B91" s="24" t="s">
        <v>51</v>
      </c>
      <c r="C91" s="25"/>
      <c r="D91" s="25"/>
      <c r="E91" s="25"/>
      <c r="F91" s="25"/>
      <c r="G91" s="27"/>
      <c r="H91" s="28" t="s">
        <v>52</v>
      </c>
      <c r="I91" s="29"/>
      <c r="J91" s="24" t="s">
        <v>51</v>
      </c>
      <c r="K91" s="25"/>
      <c r="L91" s="25"/>
      <c r="M91" s="25"/>
      <c r="N91" s="25"/>
      <c r="O91" s="27"/>
      <c r="P91" s="28" t="s">
        <v>52</v>
      </c>
      <c r="Q91" s="29"/>
      <c r="R91" s="30"/>
      <c r="S91" s="35"/>
    </row>
    <row r="92" spans="1:19" x14ac:dyDescent="0.4">
      <c r="A92" s="21"/>
      <c r="B92" s="24" t="s">
        <v>53</v>
      </c>
      <c r="C92" s="27"/>
      <c r="D92" s="24" t="s">
        <v>54</v>
      </c>
      <c r="E92" s="27"/>
      <c r="F92" s="24" t="s">
        <v>55</v>
      </c>
      <c r="G92" s="27"/>
      <c r="H92" s="32"/>
      <c r="I92" s="33"/>
      <c r="J92" s="24" t="s">
        <v>53</v>
      </c>
      <c r="K92" s="27"/>
      <c r="L92" s="24" t="s">
        <v>54</v>
      </c>
      <c r="M92" s="27"/>
      <c r="N92" s="24" t="s">
        <v>55</v>
      </c>
      <c r="O92" s="27"/>
      <c r="P92" s="32"/>
      <c r="Q92" s="33"/>
      <c r="R92" s="32"/>
      <c r="S92" s="36"/>
    </row>
    <row r="93" spans="1:19" x14ac:dyDescent="0.4">
      <c r="A93" s="21"/>
      <c r="B93" s="1" t="s">
        <v>38</v>
      </c>
      <c r="C93" s="1" t="s">
        <v>39</v>
      </c>
      <c r="D93" s="1" t="s">
        <v>38</v>
      </c>
      <c r="E93" s="1" t="s">
        <v>39</v>
      </c>
      <c r="F93" s="1" t="s">
        <v>38</v>
      </c>
      <c r="G93" s="1" t="s">
        <v>39</v>
      </c>
      <c r="H93" s="1" t="s">
        <v>38</v>
      </c>
      <c r="I93" s="1" t="s">
        <v>39</v>
      </c>
      <c r="J93" s="1" t="s">
        <v>38</v>
      </c>
      <c r="K93" s="1" t="s">
        <v>39</v>
      </c>
      <c r="L93" s="1" t="s">
        <v>38</v>
      </c>
      <c r="M93" s="1" t="s">
        <v>39</v>
      </c>
      <c r="N93" s="1" t="s">
        <v>38</v>
      </c>
      <c r="O93" s="1" t="s">
        <v>39</v>
      </c>
      <c r="P93" s="1" t="s">
        <v>38</v>
      </c>
      <c r="Q93" s="1" t="s">
        <v>39</v>
      </c>
      <c r="R93" s="1" t="s">
        <v>38</v>
      </c>
      <c r="S93" s="12" t="s">
        <v>39</v>
      </c>
    </row>
    <row r="94" spans="1:19" ht="28.8" x14ac:dyDescent="0.4">
      <c r="A94" s="10" t="s">
        <v>91</v>
      </c>
      <c r="B94" s="3">
        <v>38316</v>
      </c>
      <c r="C94" s="3">
        <v>74617</v>
      </c>
      <c r="D94" s="4">
        <v>0</v>
      </c>
      <c r="E94" s="4">
        <v>0</v>
      </c>
      <c r="F94" s="4">
        <v>0</v>
      </c>
      <c r="G94" s="4">
        <v>0</v>
      </c>
      <c r="H94" s="3">
        <v>38316</v>
      </c>
      <c r="I94" s="3">
        <v>74617</v>
      </c>
      <c r="J94" s="4"/>
      <c r="K94" s="4"/>
      <c r="L94" s="4"/>
      <c r="M94" s="4"/>
      <c r="N94" s="4"/>
      <c r="O94" s="4"/>
      <c r="P94" s="4"/>
      <c r="Q94" s="4"/>
      <c r="R94" s="3">
        <v>38316</v>
      </c>
      <c r="S94" s="5">
        <v>74617</v>
      </c>
    </row>
    <row r="95" spans="1:19" ht="43.2" x14ac:dyDescent="0.4">
      <c r="A95" s="10" t="s">
        <v>92</v>
      </c>
      <c r="B95" s="3">
        <v>4129</v>
      </c>
      <c r="C95" s="3">
        <v>8245</v>
      </c>
      <c r="D95" s="4">
        <v>0</v>
      </c>
      <c r="E95" s="4">
        <v>0</v>
      </c>
      <c r="F95" s="4">
        <v>0</v>
      </c>
      <c r="G95" s="4">
        <v>0</v>
      </c>
      <c r="H95" s="3">
        <v>4129</v>
      </c>
      <c r="I95" s="3">
        <v>8245</v>
      </c>
      <c r="J95" s="4"/>
      <c r="K95" s="4"/>
      <c r="L95" s="4"/>
      <c r="M95" s="4"/>
      <c r="N95" s="4"/>
      <c r="O95" s="4"/>
      <c r="P95" s="4"/>
      <c r="Q95" s="4"/>
      <c r="R95" s="3">
        <v>4129</v>
      </c>
      <c r="S95" s="5">
        <v>8245</v>
      </c>
    </row>
    <row r="96" spans="1:19" ht="28.8" x14ac:dyDescent="0.4">
      <c r="A96" s="10" t="s">
        <v>93</v>
      </c>
      <c r="B96" s="3">
        <v>1068</v>
      </c>
      <c r="C96" s="3">
        <v>2093</v>
      </c>
      <c r="D96" s="4">
        <v>0</v>
      </c>
      <c r="E96" s="4">
        <v>0</v>
      </c>
      <c r="F96" s="4">
        <v>0</v>
      </c>
      <c r="G96" s="4">
        <v>0</v>
      </c>
      <c r="H96" s="3">
        <v>1068</v>
      </c>
      <c r="I96" s="3">
        <v>2093</v>
      </c>
      <c r="J96" s="4"/>
      <c r="K96" s="4"/>
      <c r="L96" s="4"/>
      <c r="M96" s="4"/>
      <c r="N96" s="4"/>
      <c r="O96" s="4"/>
      <c r="P96" s="4"/>
      <c r="Q96" s="4"/>
      <c r="R96" s="3">
        <v>1068</v>
      </c>
      <c r="S96" s="5">
        <v>2093</v>
      </c>
    </row>
    <row r="97" spans="1:19" ht="43.2" x14ac:dyDescent="0.4">
      <c r="A97" s="10" t="s">
        <v>94</v>
      </c>
      <c r="B97" s="4">
        <v>-541</v>
      </c>
      <c r="C97" s="3">
        <v>-1413</v>
      </c>
      <c r="D97" s="4">
        <v>0</v>
      </c>
      <c r="E97" s="4">
        <v>0</v>
      </c>
      <c r="F97" s="4">
        <v>0</v>
      </c>
      <c r="G97" s="4">
        <v>0</v>
      </c>
      <c r="H97" s="4">
        <v>-541</v>
      </c>
      <c r="I97" s="3">
        <v>-1413</v>
      </c>
      <c r="J97" s="4"/>
      <c r="K97" s="4"/>
      <c r="L97" s="4"/>
      <c r="M97" s="4"/>
      <c r="N97" s="4"/>
      <c r="O97" s="4"/>
      <c r="P97" s="4"/>
      <c r="Q97" s="4"/>
      <c r="R97" s="4">
        <v>-541</v>
      </c>
      <c r="S97" s="5">
        <v>-1413</v>
      </c>
    </row>
    <row r="98" spans="1:19" ht="28.8" x14ac:dyDescent="0.4">
      <c r="A98" s="10" t="s">
        <v>95</v>
      </c>
      <c r="B98" s="4">
        <v>-23</v>
      </c>
      <c r="C98" s="4">
        <v>-61</v>
      </c>
      <c r="D98" s="4">
        <v>0</v>
      </c>
      <c r="E98" s="4">
        <v>0</v>
      </c>
      <c r="F98" s="4">
        <v>0</v>
      </c>
      <c r="G98" s="4">
        <v>0</v>
      </c>
      <c r="H98" s="4">
        <v>-23</v>
      </c>
      <c r="I98" s="4">
        <v>-61</v>
      </c>
      <c r="J98" s="4"/>
      <c r="K98" s="4"/>
      <c r="L98" s="4"/>
      <c r="M98" s="4"/>
      <c r="N98" s="4"/>
      <c r="O98" s="4"/>
      <c r="P98" s="4"/>
      <c r="Q98" s="4"/>
      <c r="R98" s="4">
        <v>-23</v>
      </c>
      <c r="S98" s="8">
        <v>-61</v>
      </c>
    </row>
    <row r="99" spans="1:19" x14ac:dyDescent="0.4">
      <c r="A99" s="10" t="s">
        <v>96</v>
      </c>
      <c r="B99" s="3">
        <v>6166</v>
      </c>
      <c r="C99" s="3">
        <v>10989</v>
      </c>
      <c r="D99" s="4">
        <v>0</v>
      </c>
      <c r="E99" s="4">
        <v>0</v>
      </c>
      <c r="F99" s="4">
        <v>0</v>
      </c>
      <c r="G99" s="4">
        <v>0</v>
      </c>
      <c r="H99" s="3">
        <v>6166</v>
      </c>
      <c r="I99" s="3">
        <v>10989</v>
      </c>
      <c r="J99" s="4"/>
      <c r="K99" s="4"/>
      <c r="L99" s="4"/>
      <c r="M99" s="4"/>
      <c r="N99" s="4"/>
      <c r="O99" s="4"/>
      <c r="P99" s="4"/>
      <c r="Q99" s="4"/>
      <c r="R99" s="3">
        <v>6166</v>
      </c>
      <c r="S99" s="5">
        <v>10989</v>
      </c>
    </row>
    <row r="100" spans="1:19" ht="28.8" x14ac:dyDescent="0.4">
      <c r="A100" s="11" t="s">
        <v>97</v>
      </c>
      <c r="B100" s="6">
        <v>49115</v>
      </c>
      <c r="C100" s="6">
        <v>94470</v>
      </c>
      <c r="D100" s="22">
        <v>0</v>
      </c>
      <c r="E100" s="22">
        <v>0</v>
      </c>
      <c r="F100" s="22">
        <v>0</v>
      </c>
      <c r="G100" s="22">
        <v>0</v>
      </c>
      <c r="H100" s="6">
        <v>49115</v>
      </c>
      <c r="I100" s="6">
        <v>94470</v>
      </c>
      <c r="J100" s="22">
        <v>0</v>
      </c>
      <c r="K100" s="22">
        <v>0</v>
      </c>
      <c r="L100" s="6">
        <v>185699</v>
      </c>
      <c r="M100" s="6">
        <v>374951</v>
      </c>
      <c r="N100" s="6">
        <v>2712</v>
      </c>
      <c r="O100" s="6">
        <v>4396</v>
      </c>
      <c r="P100" s="6">
        <v>188411</v>
      </c>
      <c r="Q100" s="6">
        <v>379347</v>
      </c>
      <c r="R100" s="6">
        <v>237526</v>
      </c>
      <c r="S100" s="7">
        <v>473817</v>
      </c>
    </row>
    <row r="101" spans="1:19" x14ac:dyDescent="0.4">
      <c r="A101" s="17"/>
    </row>
  </sheetData>
  <mergeCells count="89">
    <mergeCell ref="N92:O92"/>
    <mergeCell ref="A85:B85"/>
    <mergeCell ref="B87:S87"/>
    <mergeCell ref="B88:S88"/>
    <mergeCell ref="B89:Q89"/>
    <mergeCell ref="R89:S92"/>
    <mergeCell ref="B90:I90"/>
    <mergeCell ref="J90:Q90"/>
    <mergeCell ref="B91:G91"/>
    <mergeCell ref="H91:I92"/>
    <mergeCell ref="J91:O91"/>
    <mergeCell ref="P91:Q92"/>
    <mergeCell ref="B92:C92"/>
    <mergeCell ref="D92:E92"/>
    <mergeCell ref="F92:G92"/>
    <mergeCell ref="J92:K92"/>
    <mergeCell ref="L92:M92"/>
    <mergeCell ref="A70:B70"/>
    <mergeCell ref="B72:I72"/>
    <mergeCell ref="B73:I73"/>
    <mergeCell ref="B74:G74"/>
    <mergeCell ref="H74:I75"/>
    <mergeCell ref="B75:C75"/>
    <mergeCell ref="D75:E75"/>
    <mergeCell ref="F75:G75"/>
    <mergeCell ref="A59:B59"/>
    <mergeCell ref="B61:I61"/>
    <mergeCell ref="B62:I62"/>
    <mergeCell ref="B63:G63"/>
    <mergeCell ref="H63:I64"/>
    <mergeCell ref="B64:C64"/>
    <mergeCell ref="D64:E64"/>
    <mergeCell ref="F64:G64"/>
    <mergeCell ref="B41:G41"/>
    <mergeCell ref="H41:I42"/>
    <mergeCell ref="J41:O41"/>
    <mergeCell ref="P41:Q42"/>
    <mergeCell ref="B42:C42"/>
    <mergeCell ref="D42:E42"/>
    <mergeCell ref="F42:G42"/>
    <mergeCell ref="J42:K42"/>
    <mergeCell ref="L42:M42"/>
    <mergeCell ref="N42:O42"/>
    <mergeCell ref="A36:B36"/>
    <mergeCell ref="B38:Q38"/>
    <mergeCell ref="B39:Q39"/>
    <mergeCell ref="B40:I40"/>
    <mergeCell ref="J40:Q40"/>
    <mergeCell ref="A26:B26"/>
    <mergeCell ref="B28:I28"/>
    <mergeCell ref="B29:I29"/>
    <mergeCell ref="B30:G30"/>
    <mergeCell ref="H30:I31"/>
    <mergeCell ref="B31:C31"/>
    <mergeCell ref="D31:E31"/>
    <mergeCell ref="F31:G31"/>
    <mergeCell ref="Z11:AA12"/>
    <mergeCell ref="AB11:AG11"/>
    <mergeCell ref="AH11:AI12"/>
    <mergeCell ref="B12:C12"/>
    <mergeCell ref="D12:E12"/>
    <mergeCell ref="F12:G12"/>
    <mergeCell ref="J12:K12"/>
    <mergeCell ref="L12:M12"/>
    <mergeCell ref="N12:O12"/>
    <mergeCell ref="T12:U12"/>
    <mergeCell ref="V12:W12"/>
    <mergeCell ref="X12:Y12"/>
    <mergeCell ref="AB12:AC12"/>
    <mergeCell ref="AD12:AE12"/>
    <mergeCell ref="AF12:AG12"/>
    <mergeCell ref="B7:AK7"/>
    <mergeCell ref="B8:S8"/>
    <mergeCell ref="T8:AK8"/>
    <mergeCell ref="B9:Q9"/>
    <mergeCell ref="R9:S12"/>
    <mergeCell ref="T9:AI9"/>
    <mergeCell ref="AJ9:AK12"/>
    <mergeCell ref="B10:I10"/>
    <mergeCell ref="J10:Q10"/>
    <mergeCell ref="T10:AA10"/>
    <mergeCell ref="AB10:AI10"/>
    <mergeCell ref="B11:G11"/>
    <mergeCell ref="H11:I12"/>
    <mergeCell ref="J11:O11"/>
    <mergeCell ref="P11:Q12"/>
    <mergeCell ref="T11:Y11"/>
    <mergeCell ref="A4:B4"/>
    <mergeCell ref="B6:AK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보험손익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2026-06-01T12:02:49Z</dcterms:created>
  <dcterms:modified xsi:type="dcterms:W3CDTF">2026-06-04T23:19:54Z</dcterms:modified>
</cp:coreProperties>
</file>