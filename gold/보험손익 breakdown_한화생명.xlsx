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7FA73AFD-5373-4225-A514-205D4750B521}" xr6:coauthVersionLast="47" xr6:coauthVersionMax="47" xr10:uidLastSave="{00000000-0000-0000-0000-000000000000}"/>
  <bookViews>
    <workbookView xWindow="10718" yWindow="0" windowWidth="10965" windowHeight="13223" xr2:uid="{3CD259B9-5A78-42E0-B669-107C3DC53255}"/>
  </bookViews>
  <sheets>
    <sheet name="Sheet2" sheetId="2" r:id="rId1"/>
    <sheet name="부문별" sheetId="1" r:id="rId2"/>
    <sheet name="포괄손익계산서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2" l="1"/>
  <c r="L60" i="1"/>
  <c r="H11" i="2"/>
  <c r="H10" i="2"/>
  <c r="H9" i="2"/>
  <c r="H4" i="2"/>
  <c r="H3" i="2" s="1"/>
  <c r="H12" i="2"/>
  <c r="H7" i="2"/>
  <c r="E3" i="2"/>
  <c r="E4" i="2"/>
  <c r="E5" i="2"/>
  <c r="E6" i="2"/>
  <c r="E7" i="2"/>
  <c r="E8" i="2"/>
  <c r="E9" i="2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H20" i="2"/>
  <c r="H24" i="2" l="1"/>
  <c r="H22" i="2"/>
  <c r="H18" i="2"/>
  <c r="H19" i="2" s="1"/>
  <c r="H17" i="2"/>
  <c r="I46" i="1"/>
  <c r="P46" i="1"/>
  <c r="P34" i="1"/>
  <c r="P19" i="1"/>
  <c r="H6" i="2"/>
  <c r="H5" i="2"/>
  <c r="H8" i="2" l="1"/>
  <c r="H2" i="2"/>
  <c r="I2" i="2" s="1"/>
  <c r="H21" i="2" l="1"/>
  <c r="I21" i="2" s="1"/>
  <c r="H23" i="2" l="1"/>
  <c r="I23" i="2" s="1"/>
  <c r="H25" i="2" l="1"/>
  <c r="I25" i="2" s="1"/>
</calcChain>
</file>

<file path=xl/sharedStrings.xml><?xml version="1.0" encoding="utf-8"?>
<sst xmlns="http://schemas.openxmlformats.org/spreadsheetml/2006/main" count="323" uniqueCount="140">
  <si>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</si>
  <si>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</si>
  <si>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</si>
  <si>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</si>
  <si>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</si>
  <si>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</si>
  <si>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</si>
  <si>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</si>
  <si>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검증</t>
    <phoneticPr fontId="2" type="noConversion"/>
  </si>
  <si>
    <t>보험손익</t>
    <phoneticPr fontId="2" type="noConversion"/>
  </si>
  <si>
    <t>2025.4Q</t>
    <phoneticPr fontId="2" type="noConversion"/>
  </si>
  <si>
    <t>자동차손익</t>
  </si>
  <si>
    <t>일반손익</t>
  </si>
  <si>
    <t>기타영업수익</t>
    <phoneticPr fontId="2" type="noConversion"/>
  </si>
  <si>
    <t>기타사업비용</t>
    <phoneticPr fontId="2" type="noConversion"/>
  </si>
  <si>
    <t>투자손익</t>
    <phoneticPr fontId="2" type="noConversion"/>
  </si>
  <si>
    <t>투자이익</t>
  </si>
  <si>
    <t>보험금융손익</t>
  </si>
  <si>
    <t>영업이익</t>
  </si>
  <si>
    <t>영업외손익</t>
  </si>
  <si>
    <t>세전이익</t>
  </si>
  <si>
    <t>법인세</t>
  </si>
  <si>
    <t>당기순이익</t>
  </si>
  <si>
    <t>　보험서비스비용</t>
  </si>
  <si>
    <t>　　기타사업비용</t>
  </si>
  <si>
    <t>투자손익</t>
  </si>
  <si>
    <t>　　재보험금융수익</t>
  </si>
  <si>
    <t>　　이자수익</t>
  </si>
  <si>
    <t>　　배당금수익</t>
  </si>
  <si>
    <t>　　보험금융비용</t>
  </si>
  <si>
    <t>　　재산관리비</t>
  </si>
  <si>
    <t>　영업외수익</t>
  </si>
  <si>
    <t>　영업외비용</t>
  </si>
  <si>
    <t>법인세비용</t>
  </si>
  <si>
    <t>총포괄손익</t>
  </si>
  <si>
    <t>생명보험</t>
    <phoneticPr fontId="2" type="noConversion"/>
  </si>
  <si>
    <t>보험서비스결과</t>
  </si>
  <si>
    <t>　　재보험금융비용</t>
  </si>
  <si>
    <t>발행보험의 보험수익 분석 공시</t>
  </si>
  <si>
    <t>당기</t>
  </si>
  <si>
    <t>(단위 : 백만원)</t>
  </si>
  <si>
    <t>발행한 보험계약</t>
  </si>
  <si>
    <t>발행보험의 보험서비스비용 분석 공시</t>
  </si>
  <si>
    <t>보유 재보험계약</t>
  </si>
  <si>
    <t>재보험비용 분석 공시</t>
  </si>
  <si>
    <t>생명장기 손익</t>
    <phoneticPr fontId="2" type="noConversion"/>
  </si>
  <si>
    <t>4-2. 포괄손익계산서</t>
  </si>
  <si>
    <t>포괄손익계산서</t>
  </si>
  <si>
    <t>제 77 기 2025.01.01 부터 2025.12.31 까지</t>
  </si>
  <si>
    <t>제 76 기 2024.01.01 부터 2024.12.31 까지</t>
  </si>
  <si>
    <t>제 75 기 2023.01.01 부터 2023.12.31 까지</t>
  </si>
  <si>
    <t>제 77 기</t>
  </si>
  <si>
    <t>제 76 기</t>
  </si>
  <si>
    <t>제 75 기</t>
  </si>
  <si>
    <t>보험손익</t>
  </si>
  <si>
    <t>　보험영업수익</t>
  </si>
  <si>
    <t>　　보험수익</t>
  </si>
  <si>
    <t>　　재보험수익</t>
  </si>
  <si>
    <t>　　보험비용</t>
  </si>
  <si>
    <t>　　재보험비용</t>
  </si>
  <si>
    <t>　투자영업수익</t>
  </si>
  <si>
    <t>　　당기손익-공정가치측정금융상품관련이익</t>
  </si>
  <si>
    <t>　　기타포괄손익-공정가치측정금융상품관련이익</t>
  </si>
  <si>
    <t>　　상각후원가측정금융상품관련이익</t>
  </si>
  <si>
    <t>　　파생상품관련수익</t>
  </si>
  <si>
    <t>　　외화거래이익</t>
  </si>
  <si>
    <t>　　기타투자수익</t>
  </si>
  <si>
    <t>　투자영업비용</t>
  </si>
  <si>
    <t>　　금융부채의 이자비용</t>
  </si>
  <si>
    <t>　　당기손익-공정가치측정금융상품관련손실</t>
  </si>
  <si>
    <t>　　기타포괄손익-공정가치측정금융상품관련손실</t>
  </si>
  <si>
    <t>　　상각후원가측정금융상품관련손실</t>
  </si>
  <si>
    <t>　　파생상품관련비용</t>
  </si>
  <si>
    <t>　　외화거래손실</t>
  </si>
  <si>
    <t>　　기타투자비용</t>
  </si>
  <si>
    <t>법인세차감전순이익</t>
  </si>
  <si>
    <t>기타포괄손익</t>
  </si>
  <si>
    <t>　당기손익으로 재분류되지 않는 세후기타포괄손익의 구성요소</t>
  </si>
  <si>
    <t>　　기타포괄손익-공정가치측정지분증권평가손익</t>
  </si>
  <si>
    <t>　　자산재평가손익</t>
  </si>
  <si>
    <t>　　확정급여제도의 재측정요소</t>
  </si>
  <si>
    <t>　당기손익으로 재분류되는 세후기타포괄손익의 구성요소</t>
  </si>
  <si>
    <t>　　기타포괄손익-공정가치측정채무증권평가손익</t>
  </si>
  <si>
    <t>　　보험계약자산(부채)순금융손익</t>
  </si>
  <si>
    <t>　　재보험계약자산(부채)순금융손익</t>
  </si>
  <si>
    <t>　　현금흐름위험회피파생상품평가손익</t>
  </si>
  <si>
    <t>주당이익(손실)</t>
  </si>
  <si>
    <t>　보통주기본주당이익 (단위 : 원)</t>
  </si>
  <si>
    <t>　보통주희석주당이익 (단위 : 원)</t>
  </si>
  <si>
    <t>22. 보험서비스결과</t>
  </si>
  <si>
    <t>보험계약의 세분</t>
  </si>
  <si>
    <t>보험계약</t>
  </si>
  <si>
    <t>보험료배분접근법을 적용한 보험계약 외의 보험계약</t>
  </si>
  <si>
    <t>보험료배분접근법을 적용한 보험계약</t>
  </si>
  <si>
    <t>계약의 유형</t>
  </si>
  <si>
    <t>계약의 유형  합계</t>
  </si>
  <si>
    <t>사망보험</t>
  </si>
  <si>
    <t>건강보험</t>
  </si>
  <si>
    <t>연금저축보험</t>
  </si>
  <si>
    <t>변액보험</t>
  </si>
  <si>
    <t>기타보험</t>
  </si>
  <si>
    <t>보험수익 </t>
  </si>
  <si>
    <t>보험수익, 보고기간에 발생한 보험서비스비용 (기초 예상 측정치)</t>
  </si>
  <si>
    <t>보험수익, 비금융위험에 대한 위험조정의 변동분</t>
  </si>
  <si>
    <t>보험수익, 서비스의 이전으로 당기손익에 인식한 보험계약마진</t>
  </si>
  <si>
    <t>보험수익, 손실요소 변동과 관련된 금액 </t>
  </si>
  <si>
    <t>보험수익, 보험취득 현금흐름의 회수와 관련되는 보험료 부분의 배분액</t>
  </si>
  <si>
    <t>보험수익, 그 밖의 금액</t>
  </si>
  <si>
    <t>보험수익</t>
  </si>
  <si>
    <t>보험서비스비용, 발생한 보험금 및 그 밖의 발생한 보험서비스비용</t>
  </si>
  <si>
    <t>보험서비스비용, 보험취득 현금흐름의 상각에 따른 금액</t>
  </si>
  <si>
    <t>보험서비스비용, 과거 서비스와 관련된 금액</t>
  </si>
  <si>
    <t>보험서비스비용, 미래 서비스와 관련된 변동분에 관련된 금액</t>
  </si>
  <si>
    <t>발행한 보험계약에서 생기는 보험서비스비용</t>
  </si>
  <si>
    <t>발행보험의 보험서비스결과 분석 공시</t>
  </si>
  <si>
    <t>23. 재보험서비스결과</t>
  </si>
  <si>
    <t>재보험비용의 보험서비스비용 분석 공시</t>
  </si>
  <si>
    <t>재보험수익, 발생한 보험금 및 그 밖의 발생한 보험서비스비용</t>
  </si>
  <si>
    <t>재보험수익, 과거 서비스와 관련된 금액</t>
  </si>
  <si>
    <t>재보험수익, 미래 서비스와 관련된 변동분에 관련된 금액</t>
  </si>
  <si>
    <t>재보험자에게서 회수한 금액에서 생기는 수익</t>
  </si>
  <si>
    <t>재보험비용, 보고기간에 발생한 보험서비스비용 (기초 예상 측정치)</t>
  </si>
  <si>
    <t>재보험비용, 비금융위험에 대한 위험조정의 변동분</t>
  </si>
  <si>
    <t>재보험비용, 서비스의 이전으로 당기손익에 인식한 보험계약마진</t>
  </si>
  <si>
    <t>재보험비용, 당기 및 과거서비스 재보험료 경험조정</t>
  </si>
  <si>
    <t>재보험자에게 지급된 보험료 배분액에서 생기는 비용</t>
  </si>
  <si>
    <t>재보험서비스결과 공시</t>
  </si>
  <si>
    <t>KR0068</t>
    <phoneticPr fontId="2" type="noConversion"/>
  </si>
  <si>
    <t>한화생명</t>
    <phoneticPr fontId="2" type="noConversion"/>
  </si>
  <si>
    <t>&lt;- 투자손익에 '보험금융수익' 계정이 없음. 보험금융비용 차감만 처리함</t>
    <phoneticPr fontId="2" type="noConversion"/>
  </si>
  <si>
    <t>생명장기 원수손익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</si>
  <si>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</si>
  <si>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</si>
  <si>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</si>
  <si>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</si>
  <si>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생명장기 재보험손익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</si>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</sst>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3" fontId="3" fillId="0" borderId="0" xfId="0" applyNumberFormat="1" applyFon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4" fillId="0" borderId="0" xfId="0" applyFont="1">
      <alignment vertical="center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I25"/>
  <sheetViews>
    <sheetView tabSelected="1" zoomScale="70" zoomScaleNormal="70" workbookViewId="0"/>
  </sheetViews>
  <sheetFormatPr defaultRowHeight="16.899999999999999" x14ac:dyDescent="0.6"/>
  <cols>
    <col min="6" max="6" width="17.3125" bestFit="1" customWidth="1"/>
    <col min="8" max="8" width="15.1875" bestFit="1" customWidth="1"/>
  </cols>
  <sheetData>
    <row r="1" spans="1:9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6">
      <c r="A2" s="2" t="s">
        <v>127</v>
      </c>
      <c r="B2" s="2" t="s">
        <v>128</v>
      </c>
      <c r="C2" s="2"/>
      <c r="D2" s="2" t="s">
        <v>35</v>
      </c>
      <c r="E2" s="2">
        <v>1</v>
      </c>
      <c r="F2" t="s">
        <v>9</v>
      </c>
      <c r="G2" s="2" t="s">
        <v>10</v>
      </c>
      <c r="H2" s="1">
        <f>H3+H14+H15+H16-H17</f>
        <v>344419</v>
      </c>
      <c r="I2" t="b">
        <f>ROUND(H2,0)=ROUND(포괄손익계산서!B8,0)</f>
        <v>1</v>
      </c>
    </row>
    <row r="3" spans="1:9" x14ac:dyDescent="0.6">
      <c r="A3" s="2" t="s">
        <v>127</v>
      </c>
      <c r="B3" s="2" t="s">
        <v>128</v>
      </c>
      <c r="C3" s="2"/>
      <c r="D3" s="2" t="s">
        <v>35</v>
      </c>
      <c r="E3">
        <f t="shared" ref="E3:E25" si="0">E2+1</f>
        <v>2</v>
      </c>
      <c r="F3" t="s">
        <v>45</v>
      </c>
      <c r="G3" t="s">
        <v>10</v>
      </c>
      <c r="H3" s="1">
        <f>H4+H9</f>
        <v>491336</v>
      </c>
    </row>
    <row r="4" spans="1:9" x14ac:dyDescent="0.6">
      <c r="A4" s="2" t="s">
        <v>127</v>
      </c>
      <c r="B4" s="2" t="s">
        <v>128</v>
      </c>
      <c r="C4" s="2"/>
      <c r="D4" s="2" t="s">
        <v>35</v>
      </c>
      <c r="E4">
        <f t="shared" si="0"/>
        <v>3</v>
      </c>
      <c r="F4" t="s">
        <v>130</v>
      </c>
      <c r="G4" t="s">
        <v>10</v>
      </c>
      <c r="H4" s="1">
        <f>부문별!H19+부문별!N19-부문별!G34-부문별!M34</f>
        <v>495776</v>
      </c>
    </row>
    <row r="5" spans="1:9" x14ac:dyDescent="0.6">
      <c r="A5" s="2" t="s">
        <v>127</v>
      </c>
      <c r="B5" s="2" t="s">
        <v>128</v>
      </c>
      <c r="C5" s="2"/>
      <c r="D5" s="2" t="s">
        <v>35</v>
      </c>
      <c r="E5">
        <f t="shared" si="0"/>
        <v>4</v>
      </c>
      <c r="F5" t="s">
        <v>131</v>
      </c>
      <c r="G5" t="s">
        <v>10</v>
      </c>
      <c r="H5" s="3">
        <f>부문별!H15+부문별!N15</f>
        <v>787290</v>
      </c>
    </row>
    <row r="6" spans="1:9" x14ac:dyDescent="0.6">
      <c r="A6" s="2" t="s">
        <v>127</v>
      </c>
      <c r="B6" s="2" t="s">
        <v>128</v>
      </c>
      <c r="C6" s="2"/>
      <c r="D6" s="2" t="s">
        <v>35</v>
      </c>
      <c r="E6">
        <f t="shared" si="0"/>
        <v>5</v>
      </c>
      <c r="F6" t="s">
        <v>132</v>
      </c>
      <c r="G6" t="s">
        <v>10</v>
      </c>
      <c r="H6" s="3">
        <f>부문별!H14+부문별!N14</f>
        <v>155559</v>
      </c>
    </row>
    <row r="7" spans="1:9" x14ac:dyDescent="0.6">
      <c r="A7" s="2" t="s">
        <v>127</v>
      </c>
      <c r="B7" s="2" t="s">
        <v>128</v>
      </c>
      <c r="C7" s="2"/>
      <c r="D7" s="2" t="s">
        <v>35</v>
      </c>
      <c r="E7">
        <f t="shared" si="0"/>
        <v>6</v>
      </c>
      <c r="F7" t="s">
        <v>133</v>
      </c>
      <c r="G7" t="s">
        <v>10</v>
      </c>
      <c r="H7" s="1">
        <f>부문별!H13+부문별!N13-부문별!G30-부문별!M30</f>
        <v>-406421</v>
      </c>
    </row>
    <row r="8" spans="1:9" x14ac:dyDescent="0.6">
      <c r="A8" s="2" t="s">
        <v>127</v>
      </c>
      <c r="B8" s="2" t="s">
        <v>128</v>
      </c>
      <c r="C8" s="2"/>
      <c r="D8" s="2" t="s">
        <v>35</v>
      </c>
      <c r="E8">
        <f t="shared" si="0"/>
        <v>7</v>
      </c>
      <c r="F8" t="s">
        <v>134</v>
      </c>
      <c r="G8" t="s">
        <v>10</v>
      </c>
      <c r="H8" s="1">
        <f>H3-SUM(H5:H7)</f>
        <v>-45092</v>
      </c>
    </row>
    <row r="9" spans="1:9" x14ac:dyDescent="0.6">
      <c r="A9" s="2" t="s">
        <v>127</v>
      </c>
      <c r="B9" s="2" t="s">
        <v>128</v>
      </c>
      <c r="C9" s="2"/>
      <c r="D9" s="2" t="s">
        <v>35</v>
      </c>
      <c r="E9">
        <f t="shared" si="0"/>
        <v>8</v>
      </c>
      <c r="F9" t="s">
        <v>135</v>
      </c>
      <c r="G9" t="s">
        <v>10</v>
      </c>
      <c r="H9" s="1">
        <f>+부문별!E63+부문별!I63-부문별!E78-부문별!I78</f>
        <v>-4440</v>
      </c>
    </row>
    <row r="10" spans="1:9" x14ac:dyDescent="0.6">
      <c r="A10" s="2" t="s">
        <v>127</v>
      </c>
      <c r="B10" s="2" t="s">
        <v>128</v>
      </c>
      <c r="C10" s="2"/>
      <c r="D10" s="2" t="s">
        <v>35</v>
      </c>
      <c r="E10">
        <f t="shared" si="0"/>
        <v>9</v>
      </c>
      <c r="F10" t="s">
        <v>136</v>
      </c>
      <c r="G10" t="s">
        <v>10</v>
      </c>
      <c r="H10" s="1">
        <f>-부문별!E76-부문별!I76</f>
        <v>-31505</v>
      </c>
    </row>
    <row r="11" spans="1:9" x14ac:dyDescent="0.6">
      <c r="A11" s="2" t="s">
        <v>127</v>
      </c>
      <c r="B11" s="2" t="s">
        <v>128</v>
      </c>
      <c r="C11" s="2"/>
      <c r="D11" s="2" t="s">
        <v>35</v>
      </c>
      <c r="E11">
        <f t="shared" si="0"/>
        <v>10</v>
      </c>
      <c r="F11" t="s">
        <v>137</v>
      </c>
      <c r="G11" t="s">
        <v>10</v>
      </c>
      <c r="H11" s="1">
        <f>-부문별!E75-부문별!I75</f>
        <v>-1125</v>
      </c>
    </row>
    <row r="12" spans="1:9" x14ac:dyDescent="0.6">
      <c r="A12" s="2" t="s">
        <v>127</v>
      </c>
      <c r="B12" s="2" t="s">
        <v>128</v>
      </c>
      <c r="C12" s="2"/>
      <c r="D12" s="2" t="s">
        <v>35</v>
      </c>
      <c r="E12">
        <f t="shared" si="0"/>
        <v>11</v>
      </c>
      <c r="F12" t="s">
        <v>138</v>
      </c>
      <c r="G12" t="s">
        <v>10</v>
      </c>
      <c r="H12" s="1">
        <f>+부문별!E60+부문별!I60-부문별!E74-부문별!I74</f>
        <v>33157</v>
      </c>
    </row>
    <row r="13" spans="1:9" x14ac:dyDescent="0.6">
      <c r="A13" s="2" t="s">
        <v>127</v>
      </c>
      <c r="B13" s="2" t="s">
        <v>128</v>
      </c>
      <c r="C13" s="2"/>
      <c r="D13" s="2" t="s">
        <v>35</v>
      </c>
      <c r="E13">
        <f t="shared" si="0"/>
        <v>12</v>
      </c>
      <c r="F13" t="s">
        <v>139</v>
      </c>
      <c r="G13" t="s">
        <v>10</v>
      </c>
      <c r="H13" s="1">
        <f>H9-SUM(H10:H12)</f>
        <v>-4967</v>
      </c>
    </row>
    <row r="14" spans="1:9" x14ac:dyDescent="0.6">
      <c r="A14" s="2" t="s">
        <v>127</v>
      </c>
      <c r="B14" s="2" t="s">
        <v>128</v>
      </c>
      <c r="C14" s="2"/>
      <c r="D14" s="2" t="s">
        <v>35</v>
      </c>
      <c r="E14">
        <f t="shared" si="0"/>
        <v>13</v>
      </c>
      <c r="F14" t="s">
        <v>11</v>
      </c>
      <c r="G14" t="s">
        <v>10</v>
      </c>
      <c r="H14" s="1">
        <v>0</v>
      </c>
    </row>
    <row r="15" spans="1:9" x14ac:dyDescent="0.6">
      <c r="A15" s="2" t="s">
        <v>127</v>
      </c>
      <c r="B15" s="2" t="s">
        <v>128</v>
      </c>
      <c r="C15" s="2"/>
      <c r="D15" s="2" t="s">
        <v>35</v>
      </c>
      <c r="E15">
        <f t="shared" si="0"/>
        <v>14</v>
      </c>
      <c r="F15" t="s">
        <v>12</v>
      </c>
      <c r="G15" t="s">
        <v>10</v>
      </c>
      <c r="H15" s="1">
        <v>0</v>
      </c>
    </row>
    <row r="16" spans="1:9" x14ac:dyDescent="0.6">
      <c r="A16" s="2" t="s">
        <v>127</v>
      </c>
      <c r="B16" s="2" t="s">
        <v>128</v>
      </c>
      <c r="C16" s="2"/>
      <c r="D16" s="2" t="s">
        <v>35</v>
      </c>
      <c r="E16">
        <f t="shared" si="0"/>
        <v>15</v>
      </c>
      <c r="F16" t="s">
        <v>13</v>
      </c>
      <c r="G16" t="s">
        <v>10</v>
      </c>
      <c r="H16" s="1">
        <v>0</v>
      </c>
    </row>
    <row r="17" spans="1:9" x14ac:dyDescent="0.6">
      <c r="A17" s="2" t="s">
        <v>127</v>
      </c>
      <c r="B17" s="2" t="s">
        <v>128</v>
      </c>
      <c r="C17" s="2"/>
      <c r="D17" s="2" t="s">
        <v>35</v>
      </c>
      <c r="E17">
        <f t="shared" si="0"/>
        <v>16</v>
      </c>
      <c r="F17" t="s">
        <v>14</v>
      </c>
      <c r="G17" t="s">
        <v>10</v>
      </c>
      <c r="H17" s="1">
        <f>포괄손익계산서!B15</f>
        <v>146917</v>
      </c>
    </row>
    <row r="18" spans="1:9" x14ac:dyDescent="0.6">
      <c r="A18" s="2" t="s">
        <v>127</v>
      </c>
      <c r="B18" s="2" t="s">
        <v>128</v>
      </c>
      <c r="C18" s="2"/>
      <c r="D18" s="2" t="s">
        <v>35</v>
      </c>
      <c r="E18">
        <f t="shared" si="0"/>
        <v>17</v>
      </c>
      <c r="F18" t="s">
        <v>15</v>
      </c>
      <c r="G18" t="s">
        <v>10</v>
      </c>
      <c r="H18" s="1">
        <f>포괄손익계산서!B16</f>
        <v>57018</v>
      </c>
    </row>
    <row r="19" spans="1:9" x14ac:dyDescent="0.6">
      <c r="A19" s="2" t="s">
        <v>127</v>
      </c>
      <c r="B19" s="2" t="s">
        <v>128</v>
      </c>
      <c r="C19" s="2"/>
      <c r="D19" s="2" t="s">
        <v>35</v>
      </c>
      <c r="E19">
        <f t="shared" si="0"/>
        <v>18</v>
      </c>
      <c r="F19" t="s">
        <v>16</v>
      </c>
      <c r="G19" t="s">
        <v>10</v>
      </c>
      <c r="H19" s="1">
        <f>H18-H20</f>
        <v>4416182</v>
      </c>
    </row>
    <row r="20" spans="1:9" x14ac:dyDescent="0.6">
      <c r="A20" s="2" t="s">
        <v>127</v>
      </c>
      <c r="B20" s="2" t="s">
        <v>128</v>
      </c>
      <c r="C20" s="2"/>
      <c r="D20" s="2" t="s">
        <v>35</v>
      </c>
      <c r="E20">
        <f t="shared" si="0"/>
        <v>19</v>
      </c>
      <c r="F20" t="s">
        <v>17</v>
      </c>
      <c r="G20" t="s">
        <v>10</v>
      </c>
      <c r="H20" s="1">
        <f>-포괄손익계산서!B28</f>
        <v>-4359164</v>
      </c>
      <c r="I20" t="s">
        <v>129</v>
      </c>
    </row>
    <row r="21" spans="1:9" x14ac:dyDescent="0.6">
      <c r="A21" s="2" t="s">
        <v>127</v>
      </c>
      <c r="B21" s="2" t="s">
        <v>128</v>
      </c>
      <c r="C21" s="2"/>
      <c r="D21" s="2" t="s">
        <v>35</v>
      </c>
      <c r="E21">
        <f t="shared" si="0"/>
        <v>20</v>
      </c>
      <c r="F21" t="s">
        <v>18</v>
      </c>
      <c r="G21" t="s">
        <v>10</v>
      </c>
      <c r="H21" s="1">
        <f>H2+H18</f>
        <v>401437</v>
      </c>
      <c r="I21" t="b">
        <f>ROUND(H21,0)=ROUND(포괄손익계산서!B38,0)</f>
        <v>1</v>
      </c>
    </row>
    <row r="22" spans="1:9" x14ac:dyDescent="0.6">
      <c r="A22" s="2" t="s">
        <v>127</v>
      </c>
      <c r="B22" s="2" t="s">
        <v>128</v>
      </c>
      <c r="C22" s="2"/>
      <c r="D22" s="2" t="s">
        <v>35</v>
      </c>
      <c r="E22">
        <f t="shared" si="0"/>
        <v>21</v>
      </c>
      <c r="F22" t="s">
        <v>19</v>
      </c>
      <c r="G22" t="s">
        <v>10</v>
      </c>
      <c r="H22" s="1">
        <f>포괄손익계산서!B39</f>
        <v>11213</v>
      </c>
    </row>
    <row r="23" spans="1:9" x14ac:dyDescent="0.6">
      <c r="A23" s="2" t="s">
        <v>127</v>
      </c>
      <c r="B23" s="2" t="s">
        <v>128</v>
      </c>
      <c r="C23" s="2"/>
      <c r="D23" s="2" t="s">
        <v>35</v>
      </c>
      <c r="E23">
        <f t="shared" si="0"/>
        <v>22</v>
      </c>
      <c r="F23" t="s">
        <v>20</v>
      </c>
      <c r="G23" t="s">
        <v>10</v>
      </c>
      <c r="H23" s="1">
        <f>H21+H22</f>
        <v>412650</v>
      </c>
      <c r="I23" t="b">
        <f>ROUND(H23,0)=ROUND(포괄손익계산서!B42,0)</f>
        <v>1</v>
      </c>
    </row>
    <row r="24" spans="1:9" x14ac:dyDescent="0.6">
      <c r="A24" s="2" t="s">
        <v>127</v>
      </c>
      <c r="B24" s="2" t="s">
        <v>128</v>
      </c>
      <c r="C24" s="2"/>
      <c r="D24" s="2" t="s">
        <v>35</v>
      </c>
      <c r="E24">
        <f t="shared" si="0"/>
        <v>23</v>
      </c>
      <c r="F24" t="s">
        <v>21</v>
      </c>
      <c r="G24" t="s">
        <v>10</v>
      </c>
      <c r="H24" s="1">
        <f>포괄손익계산서!B43</f>
        <v>99330</v>
      </c>
    </row>
    <row r="25" spans="1:9" x14ac:dyDescent="0.6">
      <c r="A25" s="2" t="s">
        <v>127</v>
      </c>
      <c r="B25" s="2" t="s">
        <v>128</v>
      </c>
      <c r="C25" s="2"/>
      <c r="D25" s="2" t="s">
        <v>35</v>
      </c>
      <c r="E25">
        <f t="shared" si="0"/>
        <v>24</v>
      </c>
      <c r="F25" t="s">
        <v>22</v>
      </c>
      <c r="G25" t="s">
        <v>10</v>
      </c>
      <c r="H25" s="1">
        <f>H23-H24</f>
        <v>313320</v>
      </c>
      <c r="I25" t="b">
        <f>ROUND(H25,0)=ROUND(포괄손익계산서!B44,0)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P92"/>
  <sheetViews>
    <sheetView topLeftCell="A54" zoomScale="40" zoomScaleNormal="40" workbookViewId="0">
      <selection activeCell="L60" sqref="L60"/>
    </sheetView>
  </sheetViews>
  <sheetFormatPr defaultRowHeight="16.899999999999999" x14ac:dyDescent="0.6"/>
  <cols>
    <col min="1" max="1" width="18.625" bestFit="1" customWidth="1"/>
    <col min="2" max="2" width="48.1875" bestFit="1" customWidth="1"/>
    <col min="3" max="3" width="15.3125" bestFit="1" customWidth="1"/>
    <col min="16" max="16" width="10.375" bestFit="1" customWidth="1"/>
  </cols>
  <sheetData>
    <row r="1" spans="1:14" x14ac:dyDescent="0.6">
      <c r="A1" s="15" t="s">
        <v>89</v>
      </c>
    </row>
    <row r="2" spans="1:14" x14ac:dyDescent="0.6">
      <c r="A2" s="22"/>
    </row>
    <row r="3" spans="1:14" x14ac:dyDescent="0.6">
      <c r="A3" s="22"/>
    </row>
    <row r="4" spans="1:14" ht="27" customHeight="1" x14ac:dyDescent="0.6">
      <c r="A4" s="29" t="s">
        <v>38</v>
      </c>
      <c r="B4" s="29"/>
    </row>
    <row r="5" spans="1:14" x14ac:dyDescent="0.6">
      <c r="A5" s="22" t="s">
        <v>39</v>
      </c>
      <c r="B5" s="23" t="s">
        <v>40</v>
      </c>
    </row>
    <row r="6" spans="1:14" x14ac:dyDescent="0.6">
      <c r="A6" s="5"/>
      <c r="B6" s="6"/>
      <c r="C6" s="30" t="s">
        <v>90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1:14" x14ac:dyDescent="0.6">
      <c r="A7" s="24"/>
      <c r="B7" s="18"/>
      <c r="C7" s="33" t="s">
        <v>41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</row>
    <row r="8" spans="1:14" x14ac:dyDescent="0.6">
      <c r="A8" s="24"/>
      <c r="B8" s="18"/>
      <c r="C8" s="33" t="s">
        <v>91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5"/>
    </row>
    <row r="9" spans="1:14" x14ac:dyDescent="0.6">
      <c r="A9" s="24"/>
      <c r="B9" s="18"/>
      <c r="C9" s="33" t="s">
        <v>92</v>
      </c>
      <c r="D9" s="34"/>
      <c r="E9" s="34"/>
      <c r="F9" s="34"/>
      <c r="G9" s="34"/>
      <c r="H9" s="36"/>
      <c r="I9" s="33" t="s">
        <v>93</v>
      </c>
      <c r="J9" s="34"/>
      <c r="K9" s="34"/>
      <c r="L9" s="34"/>
      <c r="M9" s="34"/>
      <c r="N9" s="35"/>
    </row>
    <row r="10" spans="1:14" x14ac:dyDescent="0.6">
      <c r="A10" s="24"/>
      <c r="B10" s="18"/>
      <c r="C10" s="33" t="s">
        <v>94</v>
      </c>
      <c r="D10" s="34"/>
      <c r="E10" s="34"/>
      <c r="F10" s="34"/>
      <c r="G10" s="36"/>
      <c r="H10" s="39" t="s">
        <v>95</v>
      </c>
      <c r="I10" s="33" t="s">
        <v>94</v>
      </c>
      <c r="J10" s="34"/>
      <c r="K10" s="34"/>
      <c r="L10" s="34"/>
      <c r="M10" s="36"/>
      <c r="N10" s="37" t="s">
        <v>95</v>
      </c>
    </row>
    <row r="11" spans="1:14" ht="27" x14ac:dyDescent="0.6">
      <c r="A11" s="24"/>
      <c r="B11" s="18"/>
      <c r="C11" s="18" t="s">
        <v>96</v>
      </c>
      <c r="D11" s="18" t="s">
        <v>97</v>
      </c>
      <c r="E11" s="18" t="s">
        <v>98</v>
      </c>
      <c r="F11" s="18" t="s">
        <v>99</v>
      </c>
      <c r="G11" s="18" t="s">
        <v>100</v>
      </c>
      <c r="H11" s="40"/>
      <c r="I11" s="18" t="s">
        <v>96</v>
      </c>
      <c r="J11" s="18" t="s">
        <v>97</v>
      </c>
      <c r="K11" s="18" t="s">
        <v>98</v>
      </c>
      <c r="L11" s="18" t="s">
        <v>99</v>
      </c>
      <c r="M11" s="18" t="s">
        <v>100</v>
      </c>
      <c r="N11" s="38"/>
    </row>
    <row r="12" spans="1:14" x14ac:dyDescent="0.6">
      <c r="A12" s="41" t="s">
        <v>101</v>
      </c>
      <c r="B12" s="4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5"/>
    </row>
    <row r="13" spans="1:14" ht="27" x14ac:dyDescent="0.6">
      <c r="A13" s="43" t="s">
        <v>101</v>
      </c>
      <c r="B13" s="19" t="s">
        <v>102</v>
      </c>
      <c r="C13" s="4">
        <v>1169322</v>
      </c>
      <c r="D13" s="4">
        <v>1274263</v>
      </c>
      <c r="E13" s="4">
        <v>372499</v>
      </c>
      <c r="F13" s="4">
        <v>418159</v>
      </c>
      <c r="G13" s="9">
        <v>0</v>
      </c>
      <c r="H13" s="4">
        <v>3234243</v>
      </c>
      <c r="I13" s="9"/>
      <c r="J13" s="9"/>
      <c r="K13" s="9"/>
      <c r="L13" s="9"/>
      <c r="M13" s="9"/>
      <c r="N13" s="12"/>
    </row>
    <row r="14" spans="1:14" x14ac:dyDescent="0.6">
      <c r="A14" s="44"/>
      <c r="B14" s="19" t="s">
        <v>103</v>
      </c>
      <c r="C14" s="4">
        <v>60834</v>
      </c>
      <c r="D14" s="4">
        <v>70867</v>
      </c>
      <c r="E14" s="4">
        <v>11621</v>
      </c>
      <c r="F14" s="4">
        <v>12237</v>
      </c>
      <c r="G14" s="9">
        <v>0</v>
      </c>
      <c r="H14" s="4">
        <v>155559</v>
      </c>
      <c r="I14" s="9"/>
      <c r="J14" s="9"/>
      <c r="K14" s="9"/>
      <c r="L14" s="9"/>
      <c r="M14" s="9"/>
      <c r="N14" s="12"/>
    </row>
    <row r="15" spans="1:14" ht="27" x14ac:dyDescent="0.6">
      <c r="A15" s="44"/>
      <c r="B15" s="19" t="s">
        <v>104</v>
      </c>
      <c r="C15" s="4">
        <v>251198</v>
      </c>
      <c r="D15" s="4">
        <v>412271</v>
      </c>
      <c r="E15" s="4">
        <v>122651</v>
      </c>
      <c r="F15" s="4">
        <v>1170</v>
      </c>
      <c r="G15" s="9">
        <v>0</v>
      </c>
      <c r="H15" s="4">
        <v>787290</v>
      </c>
      <c r="I15" s="9"/>
      <c r="J15" s="9"/>
      <c r="K15" s="9"/>
      <c r="L15" s="9"/>
      <c r="M15" s="9"/>
      <c r="N15" s="12"/>
    </row>
    <row r="16" spans="1:14" x14ac:dyDescent="0.6">
      <c r="A16" s="44"/>
      <c r="B16" s="19" t="s">
        <v>105</v>
      </c>
      <c r="C16" s="4">
        <v>-7852</v>
      </c>
      <c r="D16" s="4">
        <v>-14172</v>
      </c>
      <c r="E16" s="4">
        <v>-19733</v>
      </c>
      <c r="F16" s="4">
        <v>-4994</v>
      </c>
      <c r="G16" s="9">
        <v>0</v>
      </c>
      <c r="H16" s="4">
        <v>-46751</v>
      </c>
      <c r="I16" s="9"/>
      <c r="J16" s="9"/>
      <c r="K16" s="9"/>
      <c r="L16" s="9"/>
      <c r="M16" s="9"/>
      <c r="N16" s="12"/>
    </row>
    <row r="17" spans="1:16" ht="27" x14ac:dyDescent="0.6">
      <c r="A17" s="44"/>
      <c r="B17" s="19" t="s">
        <v>106</v>
      </c>
      <c r="C17" s="4">
        <v>560560</v>
      </c>
      <c r="D17" s="4">
        <v>358308</v>
      </c>
      <c r="E17" s="4">
        <v>82768</v>
      </c>
      <c r="F17" s="4">
        <v>6483</v>
      </c>
      <c r="G17" s="9">
        <v>0</v>
      </c>
      <c r="H17" s="4">
        <v>1008119</v>
      </c>
      <c r="I17" s="9"/>
      <c r="J17" s="9"/>
      <c r="K17" s="9"/>
      <c r="L17" s="9"/>
      <c r="M17" s="9"/>
      <c r="N17" s="12"/>
    </row>
    <row r="18" spans="1:16" x14ac:dyDescent="0.6">
      <c r="A18" s="44"/>
      <c r="B18" s="19" t="s">
        <v>107</v>
      </c>
      <c r="C18" s="4">
        <v>19120</v>
      </c>
      <c r="D18" s="4">
        <v>5408</v>
      </c>
      <c r="E18" s="9">
        <v>587</v>
      </c>
      <c r="F18" s="9">
        <v>-1</v>
      </c>
      <c r="G18" s="9">
        <v>0</v>
      </c>
      <c r="H18" s="4">
        <v>25114</v>
      </c>
      <c r="I18" s="9"/>
      <c r="J18" s="9"/>
      <c r="K18" s="9"/>
      <c r="L18" s="9"/>
      <c r="M18" s="9"/>
      <c r="N18" s="12"/>
    </row>
    <row r="19" spans="1:16" x14ac:dyDescent="0.6">
      <c r="A19" s="45"/>
      <c r="B19" s="26" t="s">
        <v>108</v>
      </c>
      <c r="C19" s="27">
        <v>2053182</v>
      </c>
      <c r="D19" s="27">
        <v>2106945</v>
      </c>
      <c r="E19" s="27">
        <v>570393</v>
      </c>
      <c r="F19" s="27">
        <v>433054</v>
      </c>
      <c r="G19" s="20">
        <v>0</v>
      </c>
      <c r="H19" s="27">
        <v>5163574</v>
      </c>
      <c r="I19" s="27">
        <v>12103</v>
      </c>
      <c r="J19" s="20">
        <v>0</v>
      </c>
      <c r="K19" s="20">
        <v>0</v>
      </c>
      <c r="L19" s="20">
        <v>0</v>
      </c>
      <c r="M19" s="20">
        <v>0</v>
      </c>
      <c r="N19" s="28">
        <v>12103</v>
      </c>
      <c r="P19" s="1">
        <f>H19+N19</f>
        <v>5175677</v>
      </c>
    </row>
    <row r="20" spans="1:16" x14ac:dyDescent="0.6">
      <c r="A20" s="22"/>
    </row>
    <row r="21" spans="1:16" x14ac:dyDescent="0.6">
      <c r="A21" s="22"/>
    </row>
    <row r="22" spans="1:16" x14ac:dyDescent="0.6">
      <c r="A22" s="29" t="s">
        <v>42</v>
      </c>
      <c r="B22" s="29"/>
    </row>
    <row r="23" spans="1:16" x14ac:dyDescent="0.6">
      <c r="A23" s="22" t="s">
        <v>39</v>
      </c>
      <c r="B23" s="23" t="s">
        <v>40</v>
      </c>
    </row>
    <row r="24" spans="1:16" x14ac:dyDescent="0.6">
      <c r="A24" s="5"/>
      <c r="B24" s="30" t="s">
        <v>90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</row>
    <row r="25" spans="1:16" x14ac:dyDescent="0.6">
      <c r="A25" s="24"/>
      <c r="B25" s="33" t="s">
        <v>41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</row>
    <row r="26" spans="1:16" x14ac:dyDescent="0.6">
      <c r="A26" s="24"/>
      <c r="B26" s="33" t="s">
        <v>91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5"/>
    </row>
    <row r="27" spans="1:16" x14ac:dyDescent="0.6">
      <c r="A27" s="24"/>
      <c r="B27" s="33" t="s">
        <v>92</v>
      </c>
      <c r="C27" s="34"/>
      <c r="D27" s="34"/>
      <c r="E27" s="34"/>
      <c r="F27" s="34"/>
      <c r="G27" s="36"/>
      <c r="H27" s="33" t="s">
        <v>93</v>
      </c>
      <c r="I27" s="34"/>
      <c r="J27" s="34"/>
      <c r="K27" s="34"/>
      <c r="L27" s="34"/>
      <c r="M27" s="35"/>
    </row>
    <row r="28" spans="1:16" x14ac:dyDescent="0.6">
      <c r="A28" s="24"/>
      <c r="B28" s="33" t="s">
        <v>94</v>
      </c>
      <c r="C28" s="34"/>
      <c r="D28" s="34"/>
      <c r="E28" s="34"/>
      <c r="F28" s="36"/>
      <c r="G28" s="39" t="s">
        <v>95</v>
      </c>
      <c r="H28" s="33" t="s">
        <v>94</v>
      </c>
      <c r="I28" s="34"/>
      <c r="J28" s="34"/>
      <c r="K28" s="34"/>
      <c r="L28" s="36"/>
      <c r="M28" s="37" t="s">
        <v>95</v>
      </c>
    </row>
    <row r="29" spans="1:16" ht="27" x14ac:dyDescent="0.6">
      <c r="A29" s="24"/>
      <c r="B29" s="18" t="s">
        <v>96</v>
      </c>
      <c r="C29" s="18" t="s">
        <v>97</v>
      </c>
      <c r="D29" s="18" t="s">
        <v>98</v>
      </c>
      <c r="E29" s="18" t="s">
        <v>99</v>
      </c>
      <c r="F29" s="18" t="s">
        <v>100</v>
      </c>
      <c r="G29" s="40"/>
      <c r="H29" s="18" t="s">
        <v>96</v>
      </c>
      <c r="I29" s="18" t="s">
        <v>97</v>
      </c>
      <c r="J29" s="18" t="s">
        <v>98</v>
      </c>
      <c r="K29" s="18" t="s">
        <v>99</v>
      </c>
      <c r="L29" s="18" t="s">
        <v>100</v>
      </c>
      <c r="M29" s="38"/>
    </row>
    <row r="30" spans="1:16" ht="54" x14ac:dyDescent="0.6">
      <c r="A30" s="10" t="s">
        <v>109</v>
      </c>
      <c r="B30" s="4">
        <v>1343042</v>
      </c>
      <c r="C30" s="4">
        <v>1479847</v>
      </c>
      <c r="D30" s="4">
        <v>303273</v>
      </c>
      <c r="E30" s="4">
        <v>514219</v>
      </c>
      <c r="F30" s="9">
        <v>283</v>
      </c>
      <c r="G30" s="4">
        <v>3640664</v>
      </c>
      <c r="H30" s="9"/>
      <c r="I30" s="9"/>
      <c r="J30" s="9"/>
      <c r="K30" s="9"/>
      <c r="L30" s="9"/>
      <c r="M30" s="12"/>
    </row>
    <row r="31" spans="1:16" ht="40.5" x14ac:dyDescent="0.6">
      <c r="A31" s="10" t="s">
        <v>110</v>
      </c>
      <c r="B31" s="4">
        <v>560559</v>
      </c>
      <c r="C31" s="4">
        <v>358308</v>
      </c>
      <c r="D31" s="4">
        <v>82768</v>
      </c>
      <c r="E31" s="4">
        <v>6484</v>
      </c>
      <c r="F31" s="9">
        <v>0</v>
      </c>
      <c r="G31" s="4">
        <v>1008119</v>
      </c>
      <c r="H31" s="9"/>
      <c r="I31" s="9"/>
      <c r="J31" s="9"/>
      <c r="K31" s="9"/>
      <c r="L31" s="9"/>
      <c r="M31" s="12"/>
    </row>
    <row r="32" spans="1:16" ht="27" x14ac:dyDescent="0.6">
      <c r="A32" s="10" t="s">
        <v>111</v>
      </c>
      <c r="B32" s="4">
        <v>-136982</v>
      </c>
      <c r="C32" s="4">
        <v>68145</v>
      </c>
      <c r="D32" s="4">
        <v>-3091</v>
      </c>
      <c r="E32" s="4">
        <v>-46596</v>
      </c>
      <c r="F32" s="9">
        <v>0</v>
      </c>
      <c r="G32" s="4">
        <v>-118524</v>
      </c>
      <c r="H32" s="9"/>
      <c r="I32" s="9"/>
      <c r="J32" s="9"/>
      <c r="K32" s="9"/>
      <c r="L32" s="9"/>
      <c r="M32" s="12"/>
    </row>
    <row r="33" spans="1:16" ht="40.5" x14ac:dyDescent="0.6">
      <c r="A33" s="10" t="s">
        <v>112</v>
      </c>
      <c r="B33" s="4">
        <v>58524</v>
      </c>
      <c r="C33" s="4">
        <v>20511</v>
      </c>
      <c r="D33" s="4">
        <v>-18806</v>
      </c>
      <c r="E33" s="4">
        <v>75343</v>
      </c>
      <c r="F33" s="9">
        <v>0</v>
      </c>
      <c r="G33" s="4">
        <v>135572</v>
      </c>
      <c r="H33" s="9"/>
      <c r="I33" s="9"/>
      <c r="J33" s="9"/>
      <c r="K33" s="9"/>
      <c r="L33" s="9"/>
      <c r="M33" s="12"/>
    </row>
    <row r="34" spans="1:16" ht="40.5" x14ac:dyDescent="0.6">
      <c r="A34" s="8" t="s">
        <v>113</v>
      </c>
      <c r="B34" s="27">
        <v>1825143</v>
      </c>
      <c r="C34" s="27">
        <v>1926811</v>
      </c>
      <c r="D34" s="27">
        <v>364144</v>
      </c>
      <c r="E34" s="27">
        <v>549450</v>
      </c>
      <c r="F34" s="20">
        <v>283</v>
      </c>
      <c r="G34" s="27">
        <v>4665831</v>
      </c>
      <c r="H34" s="27">
        <v>14070</v>
      </c>
      <c r="I34" s="20">
        <v>0</v>
      </c>
      <c r="J34" s="20">
        <v>0</v>
      </c>
      <c r="K34" s="20">
        <v>0</v>
      </c>
      <c r="L34" s="20">
        <v>0</v>
      </c>
      <c r="M34" s="28">
        <v>14070</v>
      </c>
      <c r="P34" s="1">
        <f>G34+M34</f>
        <v>4679901</v>
      </c>
    </row>
    <row r="35" spans="1:16" x14ac:dyDescent="0.6">
      <c r="A35" s="22"/>
    </row>
    <row r="36" spans="1:16" x14ac:dyDescent="0.6">
      <c r="A36" s="22"/>
    </row>
    <row r="37" spans="1:16" x14ac:dyDescent="0.6">
      <c r="A37" s="22"/>
    </row>
    <row r="38" spans="1:16" x14ac:dyDescent="0.6">
      <c r="A38" s="29" t="s">
        <v>114</v>
      </c>
      <c r="B38" s="29"/>
    </row>
    <row r="39" spans="1:16" x14ac:dyDescent="0.6">
      <c r="A39" s="22" t="s">
        <v>39</v>
      </c>
      <c r="B39" s="23" t="s">
        <v>40</v>
      </c>
    </row>
    <row r="40" spans="1:16" x14ac:dyDescent="0.6">
      <c r="A40" s="5"/>
      <c r="B40" s="30" t="s">
        <v>90</v>
      </c>
      <c r="C40" s="31"/>
      <c r="D40" s="31"/>
      <c r="E40" s="31"/>
      <c r="F40" s="31"/>
      <c r="G40" s="32"/>
    </row>
    <row r="41" spans="1:16" x14ac:dyDescent="0.6">
      <c r="A41" s="24"/>
      <c r="B41" s="33" t="s">
        <v>41</v>
      </c>
      <c r="C41" s="34"/>
      <c r="D41" s="34"/>
      <c r="E41" s="34"/>
      <c r="F41" s="34"/>
      <c r="G41" s="35"/>
    </row>
    <row r="42" spans="1:16" x14ac:dyDescent="0.6">
      <c r="A42" s="24"/>
      <c r="B42" s="33" t="s">
        <v>94</v>
      </c>
      <c r="C42" s="34"/>
      <c r="D42" s="34"/>
      <c r="E42" s="34"/>
      <c r="F42" s="36"/>
      <c r="G42" s="37" t="s">
        <v>95</v>
      </c>
    </row>
    <row r="43" spans="1:16" ht="27" x14ac:dyDescent="0.6">
      <c r="A43" s="24"/>
      <c r="B43" s="18" t="s">
        <v>96</v>
      </c>
      <c r="C43" s="18" t="s">
        <v>97</v>
      </c>
      <c r="D43" s="18" t="s">
        <v>98</v>
      </c>
      <c r="E43" s="18" t="s">
        <v>99</v>
      </c>
      <c r="F43" s="18" t="s">
        <v>100</v>
      </c>
      <c r="G43" s="38"/>
    </row>
    <row r="44" spans="1:16" x14ac:dyDescent="0.6">
      <c r="A44" s="10" t="s">
        <v>108</v>
      </c>
      <c r="B44" s="4">
        <v>2065285</v>
      </c>
      <c r="C44" s="4">
        <v>2106945</v>
      </c>
      <c r="D44" s="4">
        <v>570393</v>
      </c>
      <c r="E44" s="4">
        <v>433054</v>
      </c>
      <c r="F44" s="9">
        <v>0</v>
      </c>
      <c r="G44" s="11">
        <v>5175677</v>
      </c>
    </row>
    <row r="45" spans="1:16" ht="40.5" x14ac:dyDescent="0.6">
      <c r="A45" s="10" t="s">
        <v>113</v>
      </c>
      <c r="B45" s="4">
        <v>1839213</v>
      </c>
      <c r="C45" s="4">
        <v>1926811</v>
      </c>
      <c r="D45" s="4">
        <v>364144</v>
      </c>
      <c r="E45" s="4">
        <v>549450</v>
      </c>
      <c r="F45" s="9">
        <v>283</v>
      </c>
      <c r="G45" s="11">
        <v>4679901</v>
      </c>
    </row>
    <row r="46" spans="1:16" x14ac:dyDescent="0.6">
      <c r="A46" s="8" t="s">
        <v>36</v>
      </c>
      <c r="B46" s="27">
        <v>226072</v>
      </c>
      <c r="C46" s="27">
        <v>180134</v>
      </c>
      <c r="D46" s="27">
        <v>206249</v>
      </c>
      <c r="E46" s="27">
        <v>-116396</v>
      </c>
      <c r="F46" s="20">
        <v>-283</v>
      </c>
      <c r="G46" s="28">
        <v>495776</v>
      </c>
      <c r="I46" s="1">
        <f>G46+E90</f>
        <v>491336</v>
      </c>
      <c r="P46" s="1">
        <f>P19-P34</f>
        <v>495776</v>
      </c>
    </row>
    <row r="47" spans="1:16" x14ac:dyDescent="0.6">
      <c r="A47" s="22"/>
    </row>
    <row r="48" spans="1:16" x14ac:dyDescent="0.6">
      <c r="A48" s="22"/>
    </row>
    <row r="49" spans="1:12" x14ac:dyDescent="0.6">
      <c r="A49" s="22"/>
    </row>
    <row r="50" spans="1:12" x14ac:dyDescent="0.6">
      <c r="A50" s="15" t="s">
        <v>115</v>
      </c>
    </row>
    <row r="51" spans="1:12" x14ac:dyDescent="0.6">
      <c r="A51" s="22"/>
    </row>
    <row r="52" spans="1:12" x14ac:dyDescent="0.6">
      <c r="A52" s="29" t="s">
        <v>116</v>
      </c>
      <c r="B52" s="29"/>
    </row>
    <row r="53" spans="1:12" x14ac:dyDescent="0.6">
      <c r="A53" s="22" t="s">
        <v>39</v>
      </c>
      <c r="B53" s="23" t="s">
        <v>40</v>
      </c>
    </row>
    <row r="54" spans="1:12" x14ac:dyDescent="0.6">
      <c r="A54" s="5"/>
      <c r="B54" s="30" t="s">
        <v>90</v>
      </c>
      <c r="C54" s="31"/>
      <c r="D54" s="31"/>
      <c r="E54" s="31"/>
      <c r="F54" s="31"/>
      <c r="G54" s="31"/>
      <c r="H54" s="31"/>
      <c r="I54" s="32"/>
    </row>
    <row r="55" spans="1:12" x14ac:dyDescent="0.6">
      <c r="A55" s="24"/>
      <c r="B55" s="33" t="s">
        <v>43</v>
      </c>
      <c r="C55" s="34"/>
      <c r="D55" s="34"/>
      <c r="E55" s="34"/>
      <c r="F55" s="34"/>
      <c r="G55" s="34"/>
      <c r="H55" s="34"/>
      <c r="I55" s="35"/>
    </row>
    <row r="56" spans="1:12" x14ac:dyDescent="0.6">
      <c r="A56" s="24"/>
      <c r="B56" s="33" t="s">
        <v>91</v>
      </c>
      <c r="C56" s="34"/>
      <c r="D56" s="34"/>
      <c r="E56" s="34"/>
      <c r="F56" s="34"/>
      <c r="G56" s="34"/>
      <c r="H56" s="34"/>
      <c r="I56" s="35"/>
    </row>
    <row r="57" spans="1:12" x14ac:dyDescent="0.6">
      <c r="A57" s="24"/>
      <c r="B57" s="33" t="s">
        <v>92</v>
      </c>
      <c r="C57" s="34"/>
      <c r="D57" s="34"/>
      <c r="E57" s="36"/>
      <c r="F57" s="33" t="s">
        <v>93</v>
      </c>
      <c r="G57" s="34"/>
      <c r="H57" s="34"/>
      <c r="I57" s="35"/>
    </row>
    <row r="58" spans="1:12" x14ac:dyDescent="0.6">
      <c r="A58" s="24"/>
      <c r="B58" s="33" t="s">
        <v>94</v>
      </c>
      <c r="C58" s="34"/>
      <c r="D58" s="36"/>
      <c r="E58" s="39" t="s">
        <v>95</v>
      </c>
      <c r="F58" s="33" t="s">
        <v>94</v>
      </c>
      <c r="G58" s="34"/>
      <c r="H58" s="36"/>
      <c r="I58" s="37" t="s">
        <v>95</v>
      </c>
    </row>
    <row r="59" spans="1:12" x14ac:dyDescent="0.6">
      <c r="A59" s="24"/>
      <c r="B59" s="18" t="s">
        <v>96</v>
      </c>
      <c r="C59" s="18" t="s">
        <v>97</v>
      </c>
      <c r="D59" s="18" t="s">
        <v>100</v>
      </c>
      <c r="E59" s="40"/>
      <c r="F59" s="18" t="s">
        <v>96</v>
      </c>
      <c r="G59" s="18" t="s">
        <v>97</v>
      </c>
      <c r="H59" s="18" t="s">
        <v>100</v>
      </c>
      <c r="I59" s="38"/>
    </row>
    <row r="60" spans="1:12" ht="40.5" x14ac:dyDescent="0.6">
      <c r="A60" s="10" t="s">
        <v>117</v>
      </c>
      <c r="B60" s="4">
        <v>3232</v>
      </c>
      <c r="C60" s="4">
        <v>79024</v>
      </c>
      <c r="D60" s="9">
        <v>0</v>
      </c>
      <c r="E60" s="4">
        <v>82256</v>
      </c>
      <c r="F60" s="9"/>
      <c r="G60" s="9"/>
      <c r="H60" s="9"/>
      <c r="I60" s="12"/>
      <c r="L60" s="1">
        <f>E60+I60-E74-I74</f>
        <v>33157</v>
      </c>
    </row>
    <row r="61" spans="1:12" ht="27" x14ac:dyDescent="0.6">
      <c r="A61" s="10" t="s">
        <v>118</v>
      </c>
      <c r="B61" s="9">
        <v>-410</v>
      </c>
      <c r="C61" s="4">
        <v>-9734</v>
      </c>
      <c r="D61" s="9">
        <v>0</v>
      </c>
      <c r="E61" s="4">
        <v>-10144</v>
      </c>
      <c r="F61" s="9"/>
      <c r="G61" s="9"/>
      <c r="H61" s="9"/>
      <c r="I61" s="12"/>
    </row>
    <row r="62" spans="1:12" ht="40.5" x14ac:dyDescent="0.6">
      <c r="A62" s="10" t="s">
        <v>119</v>
      </c>
      <c r="B62" s="9">
        <v>168</v>
      </c>
      <c r="C62" s="9">
        <v>131</v>
      </c>
      <c r="D62" s="9">
        <v>0</v>
      </c>
      <c r="E62" s="9">
        <v>299</v>
      </c>
      <c r="F62" s="9"/>
      <c r="G62" s="9"/>
      <c r="H62" s="9"/>
      <c r="I62" s="12"/>
    </row>
    <row r="63" spans="1:12" ht="40.5" x14ac:dyDescent="0.6">
      <c r="A63" s="8" t="s">
        <v>120</v>
      </c>
      <c r="B63" s="27">
        <v>2990</v>
      </c>
      <c r="C63" s="27">
        <v>69421</v>
      </c>
      <c r="D63" s="20">
        <v>0</v>
      </c>
      <c r="E63" s="27">
        <v>72411</v>
      </c>
      <c r="F63" s="20">
        <v>0</v>
      </c>
      <c r="G63" s="20">
        <v>0</v>
      </c>
      <c r="H63" s="20">
        <v>0</v>
      </c>
      <c r="I63" s="21">
        <v>0</v>
      </c>
    </row>
    <row r="64" spans="1:12" x14ac:dyDescent="0.6">
      <c r="A64" s="22"/>
    </row>
    <row r="65" spans="1:9" x14ac:dyDescent="0.6">
      <c r="A65" s="22"/>
    </row>
    <row r="66" spans="1:9" x14ac:dyDescent="0.6">
      <c r="A66" s="29" t="s">
        <v>44</v>
      </c>
      <c r="B66" s="29"/>
    </row>
    <row r="67" spans="1:9" x14ac:dyDescent="0.6">
      <c r="A67" s="22" t="s">
        <v>39</v>
      </c>
      <c r="B67" s="23" t="s">
        <v>40</v>
      </c>
    </row>
    <row r="68" spans="1:9" x14ac:dyDescent="0.6">
      <c r="A68" s="5"/>
      <c r="B68" s="30" t="s">
        <v>90</v>
      </c>
      <c r="C68" s="31"/>
      <c r="D68" s="31"/>
      <c r="E68" s="31"/>
      <c r="F68" s="31"/>
      <c r="G68" s="31"/>
      <c r="H68" s="31"/>
      <c r="I68" s="32"/>
    </row>
    <row r="69" spans="1:9" x14ac:dyDescent="0.6">
      <c r="A69" s="24"/>
      <c r="B69" s="33" t="s">
        <v>43</v>
      </c>
      <c r="C69" s="34"/>
      <c r="D69" s="34"/>
      <c r="E69" s="34"/>
      <c r="F69" s="34"/>
      <c r="G69" s="34"/>
      <c r="H69" s="34"/>
      <c r="I69" s="35"/>
    </row>
    <row r="70" spans="1:9" x14ac:dyDescent="0.6">
      <c r="A70" s="24"/>
      <c r="B70" s="33" t="s">
        <v>91</v>
      </c>
      <c r="C70" s="34"/>
      <c r="D70" s="34"/>
      <c r="E70" s="34"/>
      <c r="F70" s="34"/>
      <c r="G70" s="34"/>
      <c r="H70" s="34"/>
      <c r="I70" s="35"/>
    </row>
    <row r="71" spans="1:9" x14ac:dyDescent="0.6">
      <c r="A71" s="24"/>
      <c r="B71" s="33" t="s">
        <v>92</v>
      </c>
      <c r="C71" s="34"/>
      <c r="D71" s="34"/>
      <c r="E71" s="36"/>
      <c r="F71" s="33" t="s">
        <v>93</v>
      </c>
      <c r="G71" s="34"/>
      <c r="H71" s="34"/>
      <c r="I71" s="35"/>
    </row>
    <row r="72" spans="1:9" x14ac:dyDescent="0.6">
      <c r="A72" s="24"/>
      <c r="B72" s="33" t="s">
        <v>94</v>
      </c>
      <c r="C72" s="34"/>
      <c r="D72" s="36"/>
      <c r="E72" s="39" t="s">
        <v>95</v>
      </c>
      <c r="F72" s="33" t="s">
        <v>94</v>
      </c>
      <c r="G72" s="34"/>
      <c r="H72" s="36"/>
      <c r="I72" s="37" t="s">
        <v>95</v>
      </c>
    </row>
    <row r="73" spans="1:9" x14ac:dyDescent="0.6">
      <c r="A73" s="24"/>
      <c r="B73" s="18" t="s">
        <v>96</v>
      </c>
      <c r="C73" s="18" t="s">
        <v>97</v>
      </c>
      <c r="D73" s="18" t="s">
        <v>100</v>
      </c>
      <c r="E73" s="40"/>
      <c r="F73" s="18" t="s">
        <v>96</v>
      </c>
      <c r="G73" s="18" t="s">
        <v>97</v>
      </c>
      <c r="H73" s="18" t="s">
        <v>100</v>
      </c>
      <c r="I73" s="38"/>
    </row>
    <row r="74" spans="1:9" ht="54" x14ac:dyDescent="0.6">
      <c r="A74" s="10" t="s">
        <v>121</v>
      </c>
      <c r="B74" s="4">
        <v>3464</v>
      </c>
      <c r="C74" s="4">
        <v>45635</v>
      </c>
      <c r="D74" s="9">
        <v>0</v>
      </c>
      <c r="E74" s="4">
        <v>49099</v>
      </c>
      <c r="F74" s="9"/>
      <c r="G74" s="9"/>
      <c r="H74" s="9"/>
      <c r="I74" s="12"/>
    </row>
    <row r="75" spans="1:9" ht="40.5" x14ac:dyDescent="0.6">
      <c r="A75" s="10" t="s">
        <v>122</v>
      </c>
      <c r="B75" s="9">
        <v>51</v>
      </c>
      <c r="C75" s="4">
        <v>1074</v>
      </c>
      <c r="D75" s="9">
        <v>0</v>
      </c>
      <c r="E75" s="4">
        <v>1125</v>
      </c>
      <c r="F75" s="9"/>
      <c r="G75" s="9"/>
      <c r="H75" s="9"/>
      <c r="I75" s="12"/>
    </row>
    <row r="76" spans="1:9" ht="40.5" x14ac:dyDescent="0.6">
      <c r="A76" s="10" t="s">
        <v>123</v>
      </c>
      <c r="B76" s="4">
        <v>8872</v>
      </c>
      <c r="C76" s="4">
        <v>22633</v>
      </c>
      <c r="D76" s="9">
        <v>0</v>
      </c>
      <c r="E76" s="4">
        <v>31505</v>
      </c>
      <c r="F76" s="9"/>
      <c r="G76" s="9"/>
      <c r="H76" s="9"/>
      <c r="I76" s="12"/>
    </row>
    <row r="77" spans="1:9" ht="40.5" x14ac:dyDescent="0.6">
      <c r="A77" s="10" t="s">
        <v>124</v>
      </c>
      <c r="B77" s="4">
        <v>-3198</v>
      </c>
      <c r="C77" s="4">
        <v>-1690</v>
      </c>
      <c r="D77" s="9">
        <v>0</v>
      </c>
      <c r="E77" s="4">
        <v>-4888</v>
      </c>
      <c r="F77" s="9"/>
      <c r="G77" s="9"/>
      <c r="H77" s="9"/>
      <c r="I77" s="12"/>
    </row>
    <row r="78" spans="1:9" ht="40.5" x14ac:dyDescent="0.6">
      <c r="A78" s="8" t="s">
        <v>125</v>
      </c>
      <c r="B78" s="27">
        <v>9189</v>
      </c>
      <c r="C78" s="27">
        <v>67652</v>
      </c>
      <c r="D78" s="20">
        <v>0</v>
      </c>
      <c r="E78" s="27">
        <v>76841</v>
      </c>
      <c r="F78" s="20">
        <v>0</v>
      </c>
      <c r="G78" s="20">
        <v>0</v>
      </c>
      <c r="H78" s="20">
        <v>10</v>
      </c>
      <c r="I78" s="21">
        <v>10</v>
      </c>
    </row>
    <row r="79" spans="1:9" x14ac:dyDescent="0.6">
      <c r="A79" s="22"/>
    </row>
    <row r="80" spans="1:9" x14ac:dyDescent="0.6">
      <c r="A80" s="22"/>
    </row>
    <row r="81" spans="1:5" x14ac:dyDescent="0.6">
      <c r="A81" s="22"/>
    </row>
    <row r="82" spans="1:5" x14ac:dyDescent="0.6">
      <c r="A82" s="29" t="s">
        <v>126</v>
      </c>
      <c r="B82" s="29"/>
    </row>
    <row r="83" spans="1:5" x14ac:dyDescent="0.6">
      <c r="A83" s="22" t="s">
        <v>39</v>
      </c>
      <c r="B83" s="23" t="s">
        <v>40</v>
      </c>
    </row>
    <row r="84" spans="1:5" x14ac:dyDescent="0.6">
      <c r="A84" s="5"/>
      <c r="B84" s="30" t="s">
        <v>90</v>
      </c>
      <c r="C84" s="31"/>
      <c r="D84" s="31"/>
      <c r="E84" s="32"/>
    </row>
    <row r="85" spans="1:5" x14ac:dyDescent="0.6">
      <c r="A85" s="24"/>
      <c r="B85" s="33" t="s">
        <v>43</v>
      </c>
      <c r="C85" s="34"/>
      <c r="D85" s="34"/>
      <c r="E85" s="35"/>
    </row>
    <row r="86" spans="1:5" x14ac:dyDescent="0.6">
      <c r="A86" s="24"/>
      <c r="B86" s="33" t="s">
        <v>94</v>
      </c>
      <c r="C86" s="34"/>
      <c r="D86" s="36"/>
      <c r="E86" s="37" t="s">
        <v>95</v>
      </c>
    </row>
    <row r="87" spans="1:5" x14ac:dyDescent="0.6">
      <c r="A87" s="24"/>
      <c r="B87" s="18" t="s">
        <v>96</v>
      </c>
      <c r="C87" s="18" t="s">
        <v>97</v>
      </c>
      <c r="D87" s="18" t="s">
        <v>100</v>
      </c>
      <c r="E87" s="38"/>
    </row>
    <row r="88" spans="1:5" ht="40.5" x14ac:dyDescent="0.6">
      <c r="A88" s="10" t="s">
        <v>120</v>
      </c>
      <c r="B88" s="4">
        <v>2990</v>
      </c>
      <c r="C88" s="4">
        <v>69421</v>
      </c>
      <c r="D88" s="9">
        <v>0</v>
      </c>
      <c r="E88" s="11">
        <v>72411</v>
      </c>
    </row>
    <row r="89" spans="1:5" ht="40.5" x14ac:dyDescent="0.6">
      <c r="A89" s="10" t="s">
        <v>125</v>
      </c>
      <c r="B89" s="4">
        <v>9189</v>
      </c>
      <c r="C89" s="4">
        <v>67652</v>
      </c>
      <c r="D89" s="9">
        <v>10</v>
      </c>
      <c r="E89" s="11">
        <v>76851</v>
      </c>
    </row>
    <row r="90" spans="1:5" x14ac:dyDescent="0.6">
      <c r="A90" s="8" t="s">
        <v>36</v>
      </c>
      <c r="B90" s="27">
        <v>-6199</v>
      </c>
      <c r="C90" s="27">
        <v>1769</v>
      </c>
      <c r="D90" s="20">
        <v>-10</v>
      </c>
      <c r="E90" s="28">
        <v>-4440</v>
      </c>
    </row>
    <row r="91" spans="1:5" x14ac:dyDescent="0.6">
      <c r="A91" s="22"/>
    </row>
    <row r="92" spans="1:5" x14ac:dyDescent="0.6">
      <c r="A92" s="22"/>
    </row>
  </sheetData>
  <mergeCells count="52">
    <mergeCell ref="B27:G27"/>
    <mergeCell ref="H27:M27"/>
    <mergeCell ref="B28:F28"/>
    <mergeCell ref="G28:G29"/>
    <mergeCell ref="H28:L28"/>
    <mergeCell ref="M28:M29"/>
    <mergeCell ref="A13:A19"/>
    <mergeCell ref="A22:B22"/>
    <mergeCell ref="B24:M24"/>
    <mergeCell ref="B25:M25"/>
    <mergeCell ref="B26:M26"/>
    <mergeCell ref="A4:B4"/>
    <mergeCell ref="C6:N6"/>
    <mergeCell ref="C7:N7"/>
    <mergeCell ref="C8:N8"/>
    <mergeCell ref="C9:H9"/>
    <mergeCell ref="I9:N9"/>
    <mergeCell ref="C10:G10"/>
    <mergeCell ref="H10:H11"/>
    <mergeCell ref="I10:M10"/>
    <mergeCell ref="N10:N11"/>
    <mergeCell ref="A12:B12"/>
    <mergeCell ref="B42:F42"/>
    <mergeCell ref="G42:G43"/>
    <mergeCell ref="A38:B38"/>
    <mergeCell ref="B40:G40"/>
    <mergeCell ref="B41:G41"/>
    <mergeCell ref="B58:D58"/>
    <mergeCell ref="E58:E59"/>
    <mergeCell ref="F58:H58"/>
    <mergeCell ref="I58:I59"/>
    <mergeCell ref="A52:B52"/>
    <mergeCell ref="B54:I54"/>
    <mergeCell ref="B55:I55"/>
    <mergeCell ref="B56:I56"/>
    <mergeCell ref="B57:E57"/>
    <mergeCell ref="F57:I57"/>
    <mergeCell ref="B72:D72"/>
    <mergeCell ref="E72:E73"/>
    <mergeCell ref="F72:H72"/>
    <mergeCell ref="I72:I73"/>
    <mergeCell ref="A66:B66"/>
    <mergeCell ref="B68:I68"/>
    <mergeCell ref="B69:I69"/>
    <mergeCell ref="B70:I70"/>
    <mergeCell ref="B71:E71"/>
    <mergeCell ref="F71:I71"/>
    <mergeCell ref="A82:B82"/>
    <mergeCell ref="B84:E84"/>
    <mergeCell ref="B85:E85"/>
    <mergeCell ref="B86:D86"/>
    <mergeCell ref="E86:E8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EC7-CE9B-417C-8843-1A1AB8BC1846}">
  <dimension ref="A1:F58"/>
  <sheetViews>
    <sheetView zoomScale="70" zoomScaleNormal="70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B28" sqref="B28"/>
    </sheetView>
  </sheetViews>
  <sheetFormatPr defaultRowHeight="16.899999999999999" x14ac:dyDescent="0.6"/>
  <cols>
    <col min="1" max="1" width="44.625" bestFit="1" customWidth="1"/>
    <col min="2" max="2" width="17.375" bestFit="1" customWidth="1"/>
    <col min="3" max="4" width="16.625" bestFit="1" customWidth="1"/>
    <col min="6" max="8" width="10.9375" bestFit="1" customWidth="1"/>
  </cols>
  <sheetData>
    <row r="1" spans="1:6" x14ac:dyDescent="0.6">
      <c r="A1" s="15" t="s">
        <v>46</v>
      </c>
    </row>
    <row r="2" spans="1:6" x14ac:dyDescent="0.6">
      <c r="A2" s="16" t="s">
        <v>47</v>
      </c>
      <c r="F2" s="14"/>
    </row>
    <row r="3" spans="1:6" x14ac:dyDescent="0.6">
      <c r="A3" s="16" t="s">
        <v>48</v>
      </c>
    </row>
    <row r="4" spans="1:6" x14ac:dyDescent="0.6">
      <c r="A4" s="16" t="s">
        <v>49</v>
      </c>
      <c r="F4" s="1"/>
    </row>
    <row r="5" spans="1:6" x14ac:dyDescent="0.6">
      <c r="A5" s="16" t="s">
        <v>50</v>
      </c>
    </row>
    <row r="6" spans="1:6" x14ac:dyDescent="0.3">
      <c r="A6" s="17" t="s">
        <v>40</v>
      </c>
    </row>
    <row r="7" spans="1:6" x14ac:dyDescent="0.6">
      <c r="A7" s="5"/>
      <c r="B7" s="6" t="s">
        <v>51</v>
      </c>
      <c r="C7" s="6" t="s">
        <v>52</v>
      </c>
      <c r="D7" s="7" t="s">
        <v>53</v>
      </c>
    </row>
    <row r="8" spans="1:6" x14ac:dyDescent="0.6">
      <c r="A8" s="10" t="s">
        <v>54</v>
      </c>
      <c r="B8" s="4">
        <v>344419</v>
      </c>
      <c r="C8" s="4">
        <v>506305</v>
      </c>
      <c r="D8" s="11">
        <v>650941</v>
      </c>
    </row>
    <row r="9" spans="1:6" x14ac:dyDescent="0.6">
      <c r="A9" s="10" t="s">
        <v>55</v>
      </c>
      <c r="B9" s="4">
        <v>5248088</v>
      </c>
      <c r="C9" s="4">
        <v>4921893</v>
      </c>
      <c r="D9" s="11">
        <v>4855905</v>
      </c>
    </row>
    <row r="10" spans="1:6" x14ac:dyDescent="0.6">
      <c r="A10" s="10" t="s">
        <v>56</v>
      </c>
      <c r="B10" s="4">
        <v>5175677</v>
      </c>
      <c r="C10" s="4">
        <v>4864897</v>
      </c>
      <c r="D10" s="11">
        <v>4620054</v>
      </c>
    </row>
    <row r="11" spans="1:6" x14ac:dyDescent="0.6">
      <c r="A11" s="10" t="s">
        <v>57</v>
      </c>
      <c r="B11" s="4">
        <v>72411</v>
      </c>
      <c r="C11" s="4">
        <v>56996</v>
      </c>
      <c r="D11" s="11">
        <v>235851</v>
      </c>
    </row>
    <row r="12" spans="1:6" x14ac:dyDescent="0.6">
      <c r="A12" s="10" t="s">
        <v>23</v>
      </c>
      <c r="B12" s="4">
        <v>4903669</v>
      </c>
      <c r="C12" s="4">
        <v>4415588</v>
      </c>
      <c r="D12" s="11">
        <v>4204964</v>
      </c>
    </row>
    <row r="13" spans="1:6" x14ac:dyDescent="0.6">
      <c r="A13" s="10" t="s">
        <v>58</v>
      </c>
      <c r="B13" s="4">
        <v>4679901</v>
      </c>
      <c r="C13" s="4">
        <v>4203414</v>
      </c>
      <c r="D13" s="11">
        <v>3825642</v>
      </c>
    </row>
    <row r="14" spans="1:6" x14ac:dyDescent="0.6">
      <c r="A14" s="10" t="s">
        <v>59</v>
      </c>
      <c r="B14" s="4">
        <v>76851</v>
      </c>
      <c r="C14" s="4">
        <v>66156</v>
      </c>
      <c r="D14" s="11">
        <v>233613</v>
      </c>
    </row>
    <row r="15" spans="1:6" x14ac:dyDescent="0.6">
      <c r="A15" s="10" t="s">
        <v>24</v>
      </c>
      <c r="B15" s="4">
        <v>146917</v>
      </c>
      <c r="C15" s="4">
        <v>146018</v>
      </c>
      <c r="D15" s="11">
        <v>145709</v>
      </c>
    </row>
    <row r="16" spans="1:6" x14ac:dyDescent="0.6">
      <c r="A16" s="10" t="s">
        <v>25</v>
      </c>
      <c r="B16" s="4">
        <v>57018</v>
      </c>
      <c r="C16" s="4">
        <v>76154</v>
      </c>
      <c r="D16" s="11">
        <v>15144</v>
      </c>
    </row>
    <row r="17" spans="1:4" x14ac:dyDescent="0.6">
      <c r="A17" s="10" t="s">
        <v>60</v>
      </c>
      <c r="B17" s="4">
        <v>9226099</v>
      </c>
      <c r="C17" s="4">
        <v>8400250</v>
      </c>
      <c r="D17" s="11">
        <v>8365081</v>
      </c>
    </row>
    <row r="18" spans="1:4" x14ac:dyDescent="0.6">
      <c r="A18" s="10" t="s">
        <v>26</v>
      </c>
      <c r="B18" s="4">
        <v>10245</v>
      </c>
      <c r="C18" s="4">
        <v>4421</v>
      </c>
      <c r="D18" s="11">
        <v>3782</v>
      </c>
    </row>
    <row r="19" spans="1:4" x14ac:dyDescent="0.6">
      <c r="A19" s="10" t="s">
        <v>27</v>
      </c>
      <c r="B19" s="4">
        <v>2673469</v>
      </c>
      <c r="C19" s="4">
        <v>2539255</v>
      </c>
      <c r="D19" s="11">
        <v>2633278</v>
      </c>
    </row>
    <row r="20" spans="1:4" x14ac:dyDescent="0.6">
      <c r="A20" s="10" t="s">
        <v>28</v>
      </c>
      <c r="B20" s="4">
        <v>81047</v>
      </c>
      <c r="C20" s="4">
        <v>64561</v>
      </c>
      <c r="D20" s="11">
        <v>38809</v>
      </c>
    </row>
    <row r="21" spans="1:4" x14ac:dyDescent="0.6">
      <c r="A21" s="10" t="s">
        <v>61</v>
      </c>
      <c r="B21" s="4">
        <v>4561790</v>
      </c>
      <c r="C21" s="4">
        <v>2944175</v>
      </c>
      <c r="D21" s="11">
        <v>3238545</v>
      </c>
    </row>
    <row r="22" spans="1:4" x14ac:dyDescent="0.6">
      <c r="A22" s="10" t="s">
        <v>62</v>
      </c>
      <c r="B22" s="4">
        <v>142862</v>
      </c>
      <c r="C22" s="4">
        <v>62410</v>
      </c>
      <c r="D22" s="11">
        <v>15782</v>
      </c>
    </row>
    <row r="23" spans="1:4" x14ac:dyDescent="0.6">
      <c r="A23" s="10" t="s">
        <v>63</v>
      </c>
      <c r="B23" s="4">
        <v>1893</v>
      </c>
      <c r="C23" s="4">
        <v>12084</v>
      </c>
      <c r="D23" s="12">
        <v>0</v>
      </c>
    </row>
    <row r="24" spans="1:4" x14ac:dyDescent="0.6">
      <c r="A24" s="10" t="s">
        <v>64</v>
      </c>
      <c r="B24" s="4">
        <v>1111298</v>
      </c>
      <c r="C24" s="4">
        <v>1118992</v>
      </c>
      <c r="D24" s="11">
        <v>1818514</v>
      </c>
    </row>
    <row r="25" spans="1:4" x14ac:dyDescent="0.6">
      <c r="A25" s="10" t="s">
        <v>65</v>
      </c>
      <c r="B25" s="4">
        <v>523822</v>
      </c>
      <c r="C25" s="4">
        <v>1510088</v>
      </c>
      <c r="D25" s="11">
        <v>450433</v>
      </c>
    </row>
    <row r="26" spans="1:4" x14ac:dyDescent="0.6">
      <c r="A26" s="10" t="s">
        <v>66</v>
      </c>
      <c r="B26" s="4">
        <v>119673</v>
      </c>
      <c r="C26" s="4">
        <v>144264</v>
      </c>
      <c r="D26" s="11">
        <v>165938</v>
      </c>
    </row>
    <row r="27" spans="1:4" x14ac:dyDescent="0.6">
      <c r="A27" s="10" t="s">
        <v>67</v>
      </c>
      <c r="B27" s="4">
        <v>9169081</v>
      </c>
      <c r="C27" s="4">
        <v>8324096</v>
      </c>
      <c r="D27" s="11">
        <v>8349937</v>
      </c>
    </row>
    <row r="28" spans="1:4" x14ac:dyDescent="0.6">
      <c r="A28" s="10" t="s">
        <v>29</v>
      </c>
      <c r="B28" s="4">
        <v>4359164</v>
      </c>
      <c r="C28" s="4">
        <v>3043794</v>
      </c>
      <c r="D28" s="11">
        <v>4327359</v>
      </c>
    </row>
    <row r="29" spans="1:4" x14ac:dyDescent="0.6">
      <c r="A29" s="10" t="s">
        <v>37</v>
      </c>
      <c r="B29" s="4">
        <v>1185</v>
      </c>
      <c r="C29" s="4">
        <v>1086</v>
      </c>
      <c r="D29" s="11">
        <v>2506</v>
      </c>
    </row>
    <row r="30" spans="1:4" x14ac:dyDescent="0.6">
      <c r="A30" s="10" t="s">
        <v>68</v>
      </c>
      <c r="B30" s="4">
        <v>136627</v>
      </c>
      <c r="C30" s="4">
        <v>116257</v>
      </c>
      <c r="D30" s="11">
        <v>112305</v>
      </c>
    </row>
    <row r="31" spans="1:4" x14ac:dyDescent="0.6">
      <c r="A31" s="10" t="s">
        <v>69</v>
      </c>
      <c r="B31" s="4">
        <v>1276510</v>
      </c>
      <c r="C31" s="4">
        <v>1850440</v>
      </c>
      <c r="D31" s="11">
        <v>925063</v>
      </c>
    </row>
    <row r="32" spans="1:4" x14ac:dyDescent="0.6">
      <c r="A32" s="10" t="s">
        <v>70</v>
      </c>
      <c r="B32" s="4">
        <v>10305</v>
      </c>
      <c r="C32" s="4">
        <v>66280</v>
      </c>
      <c r="D32" s="11">
        <v>58443</v>
      </c>
    </row>
    <row r="33" spans="1:4" x14ac:dyDescent="0.6">
      <c r="A33" s="10" t="s">
        <v>71</v>
      </c>
      <c r="B33" s="4">
        <v>116248</v>
      </c>
      <c r="C33" s="4">
        <v>114162</v>
      </c>
      <c r="D33" s="11">
        <v>68989</v>
      </c>
    </row>
    <row r="34" spans="1:4" x14ac:dyDescent="0.6">
      <c r="A34" s="10" t="s">
        <v>72</v>
      </c>
      <c r="B34" s="4">
        <v>2322485</v>
      </c>
      <c r="C34" s="4">
        <v>2371310</v>
      </c>
      <c r="D34" s="11">
        <v>2182473</v>
      </c>
    </row>
    <row r="35" spans="1:4" x14ac:dyDescent="0.6">
      <c r="A35" s="10" t="s">
        <v>73</v>
      </c>
      <c r="B35" s="4">
        <v>315163</v>
      </c>
      <c r="C35" s="4">
        <v>151147</v>
      </c>
      <c r="D35" s="11">
        <v>81010</v>
      </c>
    </row>
    <row r="36" spans="1:4" x14ac:dyDescent="0.6">
      <c r="A36" s="10" t="s">
        <v>74</v>
      </c>
      <c r="B36" s="4">
        <v>513548</v>
      </c>
      <c r="C36" s="4">
        <v>484307</v>
      </c>
      <c r="D36" s="11">
        <v>466625</v>
      </c>
    </row>
    <row r="37" spans="1:4" x14ac:dyDescent="0.6">
      <c r="A37" s="10" t="s">
        <v>30</v>
      </c>
      <c r="B37" s="4">
        <v>117846</v>
      </c>
      <c r="C37" s="4">
        <v>125313</v>
      </c>
      <c r="D37" s="11">
        <v>125164</v>
      </c>
    </row>
    <row r="38" spans="1:4" x14ac:dyDescent="0.6">
      <c r="A38" s="10" t="s">
        <v>18</v>
      </c>
      <c r="B38" s="4">
        <v>401437</v>
      </c>
      <c r="C38" s="4">
        <v>582459</v>
      </c>
      <c r="D38" s="11">
        <v>666085</v>
      </c>
    </row>
    <row r="39" spans="1:4" x14ac:dyDescent="0.6">
      <c r="A39" s="10" t="s">
        <v>19</v>
      </c>
      <c r="B39" s="4">
        <v>11213</v>
      </c>
      <c r="C39" s="4">
        <v>322462</v>
      </c>
      <c r="D39" s="11">
        <v>87353</v>
      </c>
    </row>
    <row r="40" spans="1:4" x14ac:dyDescent="0.6">
      <c r="A40" s="10" t="s">
        <v>31</v>
      </c>
      <c r="B40" s="4">
        <v>51462</v>
      </c>
      <c r="C40" s="4">
        <v>433879</v>
      </c>
      <c r="D40" s="11">
        <v>100372</v>
      </c>
    </row>
    <row r="41" spans="1:4" x14ac:dyDescent="0.6">
      <c r="A41" s="10" t="s">
        <v>32</v>
      </c>
      <c r="B41" s="4">
        <v>40249</v>
      </c>
      <c r="C41" s="4">
        <v>111417</v>
      </c>
      <c r="D41" s="11">
        <v>13019</v>
      </c>
    </row>
    <row r="42" spans="1:4" x14ac:dyDescent="0.6">
      <c r="A42" s="10" t="s">
        <v>75</v>
      </c>
      <c r="B42" s="4">
        <v>412650</v>
      </c>
      <c r="C42" s="4">
        <v>904921</v>
      </c>
      <c r="D42" s="11">
        <v>753438</v>
      </c>
    </row>
    <row r="43" spans="1:4" s="13" customFormat="1" x14ac:dyDescent="0.6">
      <c r="A43" s="10" t="s">
        <v>33</v>
      </c>
      <c r="B43" s="4">
        <v>99330</v>
      </c>
      <c r="C43" s="4">
        <v>184351</v>
      </c>
      <c r="D43" s="11">
        <v>137176</v>
      </c>
    </row>
    <row r="44" spans="1:4" x14ac:dyDescent="0.6">
      <c r="A44" s="10" t="s">
        <v>22</v>
      </c>
      <c r="B44" s="4">
        <v>313320</v>
      </c>
      <c r="C44" s="4">
        <v>720570</v>
      </c>
      <c r="D44" s="11">
        <v>616262</v>
      </c>
    </row>
    <row r="45" spans="1:4" x14ac:dyDescent="0.6">
      <c r="A45" s="10" t="s">
        <v>76</v>
      </c>
      <c r="B45" s="4">
        <v>-56856</v>
      </c>
      <c r="C45" s="4">
        <v>-2243643</v>
      </c>
      <c r="D45" s="11">
        <v>-311247</v>
      </c>
    </row>
    <row r="46" spans="1:4" ht="27" x14ac:dyDescent="0.6">
      <c r="A46" s="10" t="s">
        <v>77</v>
      </c>
      <c r="B46" s="9">
        <v>-896</v>
      </c>
      <c r="C46" s="4">
        <v>-8889</v>
      </c>
      <c r="D46" s="11">
        <v>-4999</v>
      </c>
    </row>
    <row r="47" spans="1:4" x14ac:dyDescent="0.6">
      <c r="A47" s="10" t="s">
        <v>78</v>
      </c>
      <c r="B47" s="4">
        <v>3589</v>
      </c>
      <c r="C47" s="9">
        <v>842</v>
      </c>
      <c r="D47" s="12">
        <v>532</v>
      </c>
    </row>
    <row r="48" spans="1:4" x14ac:dyDescent="0.6">
      <c r="A48" s="10" t="s">
        <v>79</v>
      </c>
      <c r="B48" s="9">
        <v>0</v>
      </c>
      <c r="C48" s="9">
        <v>0</v>
      </c>
      <c r="D48" s="11">
        <v>4423</v>
      </c>
    </row>
    <row r="49" spans="1:4" x14ac:dyDescent="0.6">
      <c r="A49" s="10" t="s">
        <v>80</v>
      </c>
      <c r="B49" s="4">
        <v>-4485</v>
      </c>
      <c r="C49" s="4">
        <v>-9731</v>
      </c>
      <c r="D49" s="11">
        <v>-9954</v>
      </c>
    </row>
    <row r="50" spans="1:4" ht="27" x14ac:dyDescent="0.6">
      <c r="A50" s="10" t="s">
        <v>81</v>
      </c>
      <c r="B50" s="4">
        <v>-55960</v>
      </c>
      <c r="C50" s="4">
        <v>-2234754</v>
      </c>
      <c r="D50" s="11">
        <v>-306248</v>
      </c>
    </row>
    <row r="51" spans="1:4" x14ac:dyDescent="0.6">
      <c r="A51" s="10" t="s">
        <v>82</v>
      </c>
      <c r="B51" s="4">
        <v>-2149688</v>
      </c>
      <c r="C51" s="4">
        <v>1181250</v>
      </c>
      <c r="D51" s="11">
        <v>2384360</v>
      </c>
    </row>
    <row r="52" spans="1:4" x14ac:dyDescent="0.6">
      <c r="A52" s="10" t="s">
        <v>83</v>
      </c>
      <c r="B52" s="4">
        <v>2684870</v>
      </c>
      <c r="C52" s="4">
        <v>-3616207</v>
      </c>
      <c r="D52" s="11">
        <v>-3002674</v>
      </c>
    </row>
    <row r="53" spans="1:4" x14ac:dyDescent="0.6">
      <c r="A53" s="10" t="s">
        <v>84</v>
      </c>
      <c r="B53" s="4">
        <v>7442</v>
      </c>
      <c r="C53" s="9">
        <v>-904</v>
      </c>
      <c r="D53" s="11">
        <v>-16704</v>
      </c>
    </row>
    <row r="54" spans="1:4" x14ac:dyDescent="0.6">
      <c r="A54" s="10" t="s">
        <v>85</v>
      </c>
      <c r="B54" s="4">
        <v>-598584</v>
      </c>
      <c r="C54" s="4">
        <v>201107</v>
      </c>
      <c r="D54" s="11">
        <v>328770</v>
      </c>
    </row>
    <row r="55" spans="1:4" x14ac:dyDescent="0.6">
      <c r="A55" s="10" t="s">
        <v>34</v>
      </c>
      <c r="B55" s="4">
        <v>256464</v>
      </c>
      <c r="C55" s="4">
        <v>-1523073</v>
      </c>
      <c r="D55" s="11">
        <v>305015</v>
      </c>
    </row>
    <row r="56" spans="1:4" x14ac:dyDescent="0.6">
      <c r="A56" s="10" t="s">
        <v>86</v>
      </c>
      <c r="B56" s="9"/>
      <c r="C56" s="9"/>
      <c r="D56" s="12"/>
    </row>
    <row r="57" spans="1:4" x14ac:dyDescent="0.6">
      <c r="A57" s="10" t="s">
        <v>87</v>
      </c>
      <c r="B57" s="9">
        <v>262</v>
      </c>
      <c r="C57" s="9">
        <v>914</v>
      </c>
      <c r="D57" s="12">
        <v>766</v>
      </c>
    </row>
    <row r="58" spans="1:4" x14ac:dyDescent="0.6">
      <c r="A58" s="8" t="s">
        <v>88</v>
      </c>
      <c r="B58" s="20">
        <v>262</v>
      </c>
      <c r="C58" s="20">
        <v>914</v>
      </c>
      <c r="D58" s="21">
        <v>766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부문별</vt:lpstr>
      <vt:lpstr>포괄손익계산서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2026-06-02T14:16:42Z</dcterms:modified>
</cp:coreProperties>
</file>