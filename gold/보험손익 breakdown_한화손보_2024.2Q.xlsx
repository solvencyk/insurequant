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4D4D813D-98AF-4238-A8E9-E91C77DC4EE1}" xr6:coauthVersionLast="47" xr6:coauthVersionMax="47" xr10:uidLastSave="{00000000-0000-0000-0000-000000000000}"/>
  <bookViews>
    <workbookView xWindow="-98" yWindow="-98" windowWidth="21795" windowHeight="13335" xr2:uid="{B186C083-72FA-4707-BBE5-A56EC0A2D05F}"/>
  </bookViews>
  <sheets>
    <sheet name="Sheet1" sheetId="4" r:id="rId1"/>
    <sheet name="보험손익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4" l="1"/>
  <c r="H15" i="4"/>
  <c r="H14" i="4"/>
  <c r="H12" i="4"/>
  <c r="H10" i="4"/>
  <c r="H9" i="4"/>
  <c r="H7" i="4"/>
  <c r="H6" i="4"/>
  <c r="H5" i="4"/>
  <c r="H4" i="4"/>
  <c r="E8" i="4" l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3" i="4" l="1"/>
  <c r="H13" i="4"/>
  <c r="H8" i="4"/>
  <c r="E3" i="4"/>
  <c r="E4" i="4" s="1"/>
  <c r="E5" i="4" s="1"/>
  <c r="E6" i="4" s="1"/>
  <c r="E7" i="4" s="1"/>
  <c r="H2" i="4" l="1"/>
  <c r="I2" i="4" s="1"/>
</calcChain>
</file>

<file path=xl/sharedStrings.xml><?xml version="1.0" encoding="utf-8"?>
<sst xmlns="http://schemas.openxmlformats.org/spreadsheetml/2006/main" count="289" uniqueCount="88">
  <si>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</si>
  <si>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</si>
  <si>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</si>
  <si>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</si>
  <si>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</si>
  <si>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</si>
  <si>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</si>
  <si>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</si>
  <si>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</si>
  <si>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</si>
  <si>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</si>
  <si>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</si>
  <si>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</si>
  <si>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</si>
  <si>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</si>
  <si>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</si>
  <si>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</si>
  <si>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</si>
  <si>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</si>
  <si>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</si>
  <si>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</si>
  <si>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</si>
  <si>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</si>
  <si>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</si>
  <si>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</si>
  <si>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</si>
  <si>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</si>
  <si>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</si>
  <si>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</si>
  <si>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</si>
  <si>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</si>
  <si>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</si>
  <si>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</si>
  <si>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</si>
  <si>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</si>
  <si>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3개월</t>
  </si>
  <si>
    <t>한화손보</t>
    <phoneticPr fontId="2" type="noConversion"/>
  </si>
  <si>
    <t>KR0002</t>
    <phoneticPr fontId="2" type="noConversion"/>
  </si>
  <si>
    <t>2024.2Q</t>
    <phoneticPr fontId="2" type="noConversion"/>
  </si>
  <si>
    <t>26. 보험영업수익</t>
  </si>
  <si>
    <t>당반기 및 전반기 중 발생한 보험영업수익 내역은 다음과 같습니다.</t>
  </si>
  <si>
    <t>(당반기)</t>
  </si>
  <si>
    <t>(단위: 천원)</t>
  </si>
  <si>
    <t>항목</t>
  </si>
  <si>
    <t>누   적</t>
  </si>
  <si>
    <t>장   기</t>
  </si>
  <si>
    <t>일   반</t>
  </si>
  <si>
    <t>자동차</t>
  </si>
  <si>
    <t>합    계</t>
  </si>
  <si>
    <t>예상보험금수익</t>
  </si>
  <si>
    <t>예상손해조사비수익</t>
  </si>
  <si>
    <t>예상계약유지비수익</t>
  </si>
  <si>
    <t>예상투자관리비수익</t>
  </si>
  <si>
    <t>보험취득현금흐름상각수익</t>
  </si>
  <si>
    <t>위험조정변동수익</t>
  </si>
  <si>
    <t>보험계약마진상각수익</t>
  </si>
  <si>
    <t>손실요소배분</t>
  </si>
  <si>
    <t>보험료배분접근법적용수익</t>
  </si>
  <si>
    <t>합계</t>
  </si>
  <si>
    <t>27. 보험영업비용</t>
  </si>
  <si>
    <t>당반기 및 전반기 중 발생한 보험영업비용 내역은 다음과 같습니다.</t>
  </si>
  <si>
    <t>발생보험금비용</t>
  </si>
  <si>
    <t>발생손해조사비</t>
  </si>
  <si>
    <t>발생사고부채변동비용</t>
  </si>
  <si>
    <t>발생계약유지비용</t>
  </si>
  <si>
    <t>발생투자관리비</t>
  </si>
  <si>
    <t>보험취득현금흐름 상각비용</t>
  </si>
  <si>
    <t>보험취득현금흐름 당기비용</t>
  </si>
  <si>
    <t>손실부담계약관련비용(환입)</t>
  </si>
  <si>
    <t>기타보험영업비용</t>
  </si>
  <si>
    <t>28. 출재보험손익</t>
  </si>
  <si>
    <t>당반기 및 전반기 중 발생한 출재보험수익 및 비용 내역은 다음과 같습니다.</t>
  </si>
  <si>
    <t>출재보험수익</t>
  </si>
  <si>
    <t>  발생출재보험금수익</t>
  </si>
  <si>
    <t>  발생수입손해조사비</t>
  </si>
  <si>
    <t>  출재발생사고부채변동수익</t>
  </si>
  <si>
    <t>  손실회수요소 관련 이익(손실)</t>
  </si>
  <si>
    <t>  기타출재보험영업수익</t>
  </si>
  <si>
    <t>출재보험비용</t>
  </si>
  <si>
    <t>  예상출재보험금비용</t>
  </si>
  <si>
    <t>  예상수입손해조사비</t>
  </si>
  <si>
    <t>  출재보험계약마진상각비용</t>
  </si>
  <si>
    <t>  출재위험조정변동비용</t>
  </si>
  <si>
    <t>  손실회수요소배분</t>
  </si>
  <si>
    <t>  출재보험료 경험조정</t>
  </si>
  <si>
    <t>  출재보험료배분접근법적용비용</t>
  </si>
  <si>
    <t>  기타출재보험영업비용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</si>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</sst>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/>
  </sheetViews>
  <sheetFormatPr defaultRowHeight="16.899999999999999" x14ac:dyDescent="0.6"/>
  <cols>
    <col min="5" max="5" width="9.25" bestFit="1" customWidth="1"/>
    <col min="6" max="6" width="20.9375" bestFit="1" customWidth="1"/>
    <col min="8" max="8" width="16.625" bestFit="1" customWidth="1"/>
  </cols>
  <sheetData>
    <row r="1" spans="1:11" x14ac:dyDescent="0.6">
      <c r="A1" s="8" t="s">
        <v>21</v>
      </c>
      <c r="B1" s="8" t="s">
        <v>20</v>
      </c>
      <c r="C1" s="8" t="s">
        <v>19</v>
      </c>
      <c r="D1" s="8" t="s">
        <v>18</v>
      </c>
      <c r="E1" s="8" t="s">
        <v>17</v>
      </c>
      <c r="F1" s="8" t="s">
        <v>16</v>
      </c>
      <c r="G1" s="8" t="s">
        <v>0</v>
      </c>
      <c r="H1" s="8" t="s">
        <v>15</v>
      </c>
      <c r="I1" s="8" t="s">
        <v>22</v>
      </c>
    </row>
    <row r="2" spans="1:11" x14ac:dyDescent="0.6">
      <c r="A2" s="8" t="s">
        <v>37</v>
      </c>
      <c r="B2" s="8" t="s">
        <v>36</v>
      </c>
      <c r="C2" s="8"/>
      <c r="D2" s="8" t="s">
        <v>3</v>
      </c>
      <c r="E2" s="8">
        <v>1</v>
      </c>
      <c r="F2" t="s">
        <v>14</v>
      </c>
      <c r="G2" s="8" t="s">
        <v>38</v>
      </c>
      <c r="H2" s="2">
        <f>H3+H14+H15+H16-H17</f>
        <v>262431.58999999997</v>
      </c>
      <c r="I2" t="b">
        <f>ROUND(H2,0)=ROUND(206818.062,0)</f>
        <v>0</v>
      </c>
    </row>
    <row r="3" spans="1:11" x14ac:dyDescent="0.6">
      <c r="A3" s="8" t="s">
        <v>37</v>
      </c>
      <c r="B3" s="8" t="s">
        <v>36</v>
      </c>
      <c r="C3" s="8"/>
      <c r="D3" s="8" t="s">
        <v>3</v>
      </c>
      <c r="E3">
        <f t="shared" ref="E3" si="0">E2+1</f>
        <v>2</v>
      </c>
      <c r="F3" t="s">
        <v>23</v>
      </c>
      <c r="G3" t="s">
        <v>38</v>
      </c>
      <c r="H3" s="2">
        <f>H4+H9</f>
        <v>301239.89599999995</v>
      </c>
    </row>
    <row r="4" spans="1:11" x14ac:dyDescent="0.6">
      <c r="A4" s="8" t="s">
        <v>37</v>
      </c>
      <c r="B4" s="8" t="s">
        <v>36</v>
      </c>
      <c r="C4" s="8"/>
      <c r="D4" s="8" t="s">
        <v>3</v>
      </c>
      <c r="E4">
        <f t="shared" ref="E4:E7" si="1">E3+1</f>
        <v>3</v>
      </c>
      <c r="F4" t="s">
        <v>24</v>
      </c>
      <c r="G4" t="s">
        <v>38</v>
      </c>
      <c r="H4" s="2">
        <f>(보험손익!F16-보험손익!F33)/1000</f>
        <v>315921.39399999997</v>
      </c>
      <c r="I4" s="2"/>
    </row>
    <row r="5" spans="1:11" x14ac:dyDescent="0.6">
      <c r="A5" s="8" t="s">
        <v>37</v>
      </c>
      <c r="B5" s="8" t="s">
        <v>36</v>
      </c>
      <c r="C5" s="8"/>
      <c r="D5" s="8" t="s">
        <v>3</v>
      </c>
      <c r="E5">
        <f t="shared" si="1"/>
        <v>4</v>
      </c>
      <c r="F5" t="s">
        <v>27</v>
      </c>
      <c r="G5" t="s">
        <v>38</v>
      </c>
      <c r="H5" s="2">
        <f>보험손익!F13/1000</f>
        <v>205267.79300000001</v>
      </c>
    </row>
    <row r="6" spans="1:11" x14ac:dyDescent="0.6">
      <c r="A6" s="8" t="s">
        <v>37</v>
      </c>
      <c r="B6" s="8" t="s">
        <v>36</v>
      </c>
      <c r="C6" s="8"/>
      <c r="D6" s="8" t="s">
        <v>3</v>
      </c>
      <c r="E6">
        <f t="shared" si="1"/>
        <v>5</v>
      </c>
      <c r="F6" t="s">
        <v>28</v>
      </c>
      <c r="G6" t="s">
        <v>38</v>
      </c>
      <c r="H6" s="2">
        <f>보험손익!F12/1000</f>
        <v>38013.139000000003</v>
      </c>
    </row>
    <row r="7" spans="1:11" x14ac:dyDescent="0.6">
      <c r="A7" s="8" t="s">
        <v>37</v>
      </c>
      <c r="B7" s="8" t="s">
        <v>36</v>
      </c>
      <c r="C7" s="8"/>
      <c r="D7" s="8" t="s">
        <v>3</v>
      </c>
      <c r="E7">
        <f t="shared" si="1"/>
        <v>6</v>
      </c>
      <c r="F7" t="s">
        <v>29</v>
      </c>
      <c r="G7" t="s">
        <v>38</v>
      </c>
      <c r="H7" s="2">
        <f>(SUM(보험손익!F7:F10)-SUM(보험손익!F24:F25,보험손익!F27:F28))/1000</f>
        <v>-49754.803</v>
      </c>
    </row>
    <row r="8" spans="1:11" x14ac:dyDescent="0.6">
      <c r="A8" s="8" t="s">
        <v>37</v>
      </c>
      <c r="B8" s="8" t="s">
        <v>36</v>
      </c>
      <c r="C8" s="8"/>
      <c r="D8" s="8" t="s">
        <v>26</v>
      </c>
      <c r="E8">
        <f t="shared" ref="E8:E25" si="2">E7+1</f>
        <v>7</v>
      </c>
      <c r="F8" t="s">
        <v>30</v>
      </c>
      <c r="G8" t="s">
        <v>38</v>
      </c>
      <c r="H8" s="2">
        <f>H4-SUM(H5:H7)</f>
        <v>122395.26499999996</v>
      </c>
      <c r="K8" s="2"/>
    </row>
    <row r="9" spans="1:11" x14ac:dyDescent="0.6">
      <c r="A9" s="8" t="s">
        <v>37</v>
      </c>
      <c r="B9" s="8" t="s">
        <v>36</v>
      </c>
      <c r="C9" s="8"/>
      <c r="D9" s="8" t="s">
        <v>26</v>
      </c>
      <c r="E9">
        <f t="shared" si="2"/>
        <v>8</v>
      </c>
      <c r="F9" t="s">
        <v>25</v>
      </c>
      <c r="G9" t="s">
        <v>38</v>
      </c>
      <c r="H9" s="2">
        <f>(보험손익!F46-보험손익!F56)/1000</f>
        <v>-14681.498</v>
      </c>
      <c r="I9" s="2"/>
      <c r="K9" s="2"/>
    </row>
    <row r="10" spans="1:11" x14ac:dyDescent="0.6">
      <c r="A10" s="8" t="s">
        <v>37</v>
      </c>
      <c r="B10" s="8" t="s">
        <v>36</v>
      </c>
      <c r="C10" s="8"/>
      <c r="D10" s="8" t="s">
        <v>26</v>
      </c>
      <c r="E10">
        <f t="shared" si="2"/>
        <v>9</v>
      </c>
      <c r="F10" t="s">
        <v>31</v>
      </c>
      <c r="G10" t="s">
        <v>38</v>
      </c>
      <c r="H10" s="2">
        <f>-보험손익!F50/1000</f>
        <v>-1362.6489999999999</v>
      </c>
      <c r="K10" s="2"/>
    </row>
    <row r="11" spans="1:11" x14ac:dyDescent="0.6">
      <c r="A11" s="8" t="s">
        <v>37</v>
      </c>
      <c r="B11" s="8" t="s">
        <v>36</v>
      </c>
      <c r="C11" s="8"/>
      <c r="D11" s="8" t="s">
        <v>26</v>
      </c>
      <c r="E11">
        <f t="shared" si="2"/>
        <v>10</v>
      </c>
      <c r="F11" t="s">
        <v>32</v>
      </c>
      <c r="G11" t="s">
        <v>38</v>
      </c>
      <c r="H11" s="2">
        <f>-보험손익!F51/1000</f>
        <v>-694.77099999999996</v>
      </c>
      <c r="K11" s="2"/>
    </row>
    <row r="12" spans="1:11" x14ac:dyDescent="0.6">
      <c r="A12" s="8" t="s">
        <v>37</v>
      </c>
      <c r="B12" s="8" t="s">
        <v>36</v>
      </c>
      <c r="C12" s="8"/>
      <c r="D12" s="8" t="s">
        <v>26</v>
      </c>
      <c r="E12">
        <f t="shared" si="2"/>
        <v>11</v>
      </c>
      <c r="F12" t="s">
        <v>33</v>
      </c>
      <c r="G12" t="s">
        <v>38</v>
      </c>
      <c r="H12" s="2">
        <f>(SUM(보험손익!F41:F42)-SUM(보험손익!F48:F49))/1000</f>
        <v>-3736.4870000000001</v>
      </c>
      <c r="K12" s="2"/>
    </row>
    <row r="13" spans="1:11" x14ac:dyDescent="0.6">
      <c r="A13" s="8" t="s">
        <v>37</v>
      </c>
      <c r="B13" s="8" t="s">
        <v>36</v>
      </c>
      <c r="C13" s="8"/>
      <c r="D13" s="8" t="s">
        <v>26</v>
      </c>
      <c r="E13">
        <f t="shared" si="2"/>
        <v>12</v>
      </c>
      <c r="F13" t="s">
        <v>34</v>
      </c>
      <c r="G13" t="s">
        <v>38</v>
      </c>
      <c r="H13" s="2">
        <f>H9-SUM(H10:H12)</f>
        <v>-8887.5910000000003</v>
      </c>
      <c r="K13" s="2"/>
    </row>
    <row r="14" spans="1:11" x14ac:dyDescent="0.6">
      <c r="A14" s="8" t="s">
        <v>37</v>
      </c>
      <c r="B14" s="8" t="s">
        <v>36</v>
      </c>
      <c r="C14" s="8"/>
      <c r="D14" s="8" t="s">
        <v>26</v>
      </c>
      <c r="E14">
        <f t="shared" si="2"/>
        <v>13</v>
      </c>
      <c r="F14" t="s">
        <v>13</v>
      </c>
      <c r="G14" t="s">
        <v>38</v>
      </c>
      <c r="H14" s="2">
        <f>(보험손익!H16-보험손익!H33-보험손익!H56+보험손익!H46)/1000</f>
        <v>6738.5479999999998</v>
      </c>
    </row>
    <row r="15" spans="1:11" x14ac:dyDescent="0.6">
      <c r="A15" s="8" t="s">
        <v>37</v>
      </c>
      <c r="B15" s="8" t="s">
        <v>36</v>
      </c>
      <c r="C15" s="8"/>
      <c r="D15" s="8" t="s">
        <v>3</v>
      </c>
      <c r="E15">
        <f t="shared" si="2"/>
        <v>14</v>
      </c>
      <c r="F15" t="s">
        <v>12</v>
      </c>
      <c r="G15" t="s">
        <v>38</v>
      </c>
      <c r="H15" s="2">
        <f>(보험손익!G16-보험손익!G33-보험손익!G56+보험손익!G46)/1000</f>
        <v>38971.408000000003</v>
      </c>
    </row>
    <row r="16" spans="1:11" x14ac:dyDescent="0.6">
      <c r="A16" s="8" t="s">
        <v>37</v>
      </c>
      <c r="B16" s="8" t="s">
        <v>36</v>
      </c>
      <c r="C16" s="8"/>
      <c r="D16" s="8" t="s">
        <v>3</v>
      </c>
      <c r="E16">
        <f t="shared" si="2"/>
        <v>15</v>
      </c>
      <c r="F16" t="s">
        <v>8</v>
      </c>
      <c r="G16" t="s">
        <v>38</v>
      </c>
      <c r="H16" s="2"/>
    </row>
    <row r="17" spans="1:9" x14ac:dyDescent="0.6">
      <c r="A17" s="8" t="s">
        <v>37</v>
      </c>
      <c r="B17" s="8" t="s">
        <v>36</v>
      </c>
      <c r="C17" s="8"/>
      <c r="D17" s="8" t="s">
        <v>3</v>
      </c>
      <c r="E17">
        <f t="shared" si="2"/>
        <v>16</v>
      </c>
      <c r="F17" t="s">
        <v>7</v>
      </c>
      <c r="G17" t="s">
        <v>38</v>
      </c>
      <c r="H17" s="2">
        <v>84518.262000000002</v>
      </c>
    </row>
    <row r="18" spans="1:9" x14ac:dyDescent="0.6">
      <c r="A18" s="8" t="s">
        <v>37</v>
      </c>
      <c r="B18" s="8" t="s">
        <v>36</v>
      </c>
      <c r="C18" s="8"/>
      <c r="D18" s="8" t="s">
        <v>3</v>
      </c>
      <c r="E18">
        <f t="shared" si="2"/>
        <v>17</v>
      </c>
      <c r="F18" t="s">
        <v>11</v>
      </c>
      <c r="G18" t="s">
        <v>38</v>
      </c>
      <c r="H18" s="2"/>
    </row>
    <row r="19" spans="1:9" x14ac:dyDescent="0.6">
      <c r="A19" s="8" t="s">
        <v>37</v>
      </c>
      <c r="B19" s="8" t="s">
        <v>36</v>
      </c>
      <c r="C19" s="8"/>
      <c r="D19" s="8" t="s">
        <v>3</v>
      </c>
      <c r="E19">
        <f t="shared" si="2"/>
        <v>18</v>
      </c>
      <c r="F19" t="s">
        <v>10</v>
      </c>
      <c r="G19" t="s">
        <v>38</v>
      </c>
      <c r="H19" s="2"/>
    </row>
    <row r="20" spans="1:9" x14ac:dyDescent="0.6">
      <c r="A20" s="8" t="s">
        <v>37</v>
      </c>
      <c r="B20" s="8" t="s">
        <v>36</v>
      </c>
      <c r="C20" s="8"/>
      <c r="D20" s="8" t="s">
        <v>3</v>
      </c>
      <c r="E20">
        <f t="shared" si="2"/>
        <v>19</v>
      </c>
      <c r="F20" t="s">
        <v>9</v>
      </c>
      <c r="G20" t="s">
        <v>38</v>
      </c>
      <c r="H20" s="2"/>
    </row>
    <row r="21" spans="1:9" x14ac:dyDescent="0.6">
      <c r="A21" s="8" t="s">
        <v>37</v>
      </c>
      <c r="B21" s="8" t="s">
        <v>36</v>
      </c>
      <c r="C21" s="8"/>
      <c r="D21" s="8" t="s">
        <v>3</v>
      </c>
      <c r="E21">
        <f t="shared" si="2"/>
        <v>20</v>
      </c>
      <c r="F21" t="s">
        <v>1</v>
      </c>
      <c r="G21" t="s">
        <v>38</v>
      </c>
      <c r="H21" s="2"/>
    </row>
    <row r="22" spans="1:9" x14ac:dyDescent="0.6">
      <c r="A22" s="8" t="s">
        <v>37</v>
      </c>
      <c r="B22" s="8" t="s">
        <v>36</v>
      </c>
      <c r="C22" s="8"/>
      <c r="D22" s="8" t="s">
        <v>3</v>
      </c>
      <c r="E22">
        <f t="shared" si="2"/>
        <v>21</v>
      </c>
      <c r="F22" t="s">
        <v>6</v>
      </c>
      <c r="G22" t="s">
        <v>38</v>
      </c>
      <c r="H22" s="2"/>
    </row>
    <row r="23" spans="1:9" x14ac:dyDescent="0.6">
      <c r="A23" s="8" t="s">
        <v>37</v>
      </c>
      <c r="B23" s="8" t="s">
        <v>36</v>
      </c>
      <c r="C23" s="8"/>
      <c r="D23" s="8" t="s">
        <v>3</v>
      </c>
      <c r="E23">
        <f t="shared" si="2"/>
        <v>22</v>
      </c>
      <c r="F23" t="s">
        <v>5</v>
      </c>
      <c r="G23" t="s">
        <v>38</v>
      </c>
      <c r="H23" s="2"/>
    </row>
    <row r="24" spans="1:9" x14ac:dyDescent="0.6">
      <c r="A24" s="8" t="s">
        <v>37</v>
      </c>
      <c r="B24" s="8" t="s">
        <v>36</v>
      </c>
      <c r="C24" s="8"/>
      <c r="D24" s="8" t="s">
        <v>3</v>
      </c>
      <c r="E24">
        <f t="shared" si="2"/>
        <v>23</v>
      </c>
      <c r="F24" t="s">
        <v>4</v>
      </c>
      <c r="G24" t="s">
        <v>38</v>
      </c>
      <c r="H24" s="2"/>
    </row>
    <row r="25" spans="1:9" x14ac:dyDescent="0.6">
      <c r="A25" s="8" t="s">
        <v>37</v>
      </c>
      <c r="B25" s="8" t="s">
        <v>36</v>
      </c>
      <c r="C25" s="8"/>
      <c r="D25" s="8" t="s">
        <v>3</v>
      </c>
      <c r="E25">
        <f t="shared" si="2"/>
        <v>24</v>
      </c>
      <c r="F25" t="s">
        <v>2</v>
      </c>
      <c r="G25" t="s">
        <v>38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I57"/>
  <sheetViews>
    <sheetView zoomScale="55" zoomScaleNormal="55" workbookViewId="0">
      <pane xSplit="1" ySplit="1" topLeftCell="B38" activePane="bottomRight" state="frozen"/>
      <selection pane="topRight" activeCell="D1" sqref="D1"/>
      <selection pane="bottomLeft" activeCell="A2" sqref="A2"/>
      <selection pane="bottomRight" activeCell="F51" sqref="F51"/>
    </sheetView>
  </sheetViews>
  <sheetFormatPr defaultRowHeight="16.899999999999999" x14ac:dyDescent="0.6"/>
  <cols>
    <col min="2" max="4" width="10.9375" bestFit="1" customWidth="1"/>
    <col min="5" max="6" width="13.8125" bestFit="1" customWidth="1"/>
    <col min="7" max="8" width="10.9375" bestFit="1" customWidth="1"/>
    <col min="9" max="9" width="13.8125" bestFit="1" customWidth="1"/>
  </cols>
  <sheetData>
    <row r="1" spans="1:9" x14ac:dyDescent="0.6">
      <c r="A1" s="11" t="s">
        <v>39</v>
      </c>
    </row>
    <row r="3" spans="1:9" ht="28.5" x14ac:dyDescent="0.6">
      <c r="A3" s="11" t="s">
        <v>40</v>
      </c>
    </row>
    <row r="4" spans="1:9" x14ac:dyDescent="0.6">
      <c r="A4" s="12" t="s">
        <v>41</v>
      </c>
      <c r="B4" s="13" t="s">
        <v>42</v>
      </c>
    </row>
    <row r="5" spans="1:9" ht="27" customHeight="1" x14ac:dyDescent="0.6">
      <c r="A5" s="17" t="s">
        <v>43</v>
      </c>
      <c r="B5" s="19" t="s">
        <v>35</v>
      </c>
      <c r="C5" s="20"/>
      <c r="D5" s="20"/>
      <c r="E5" s="21"/>
      <c r="F5" s="19" t="s">
        <v>44</v>
      </c>
      <c r="G5" s="20"/>
      <c r="H5" s="20"/>
      <c r="I5" s="22"/>
    </row>
    <row r="6" spans="1:9" x14ac:dyDescent="0.6">
      <c r="A6" s="18"/>
      <c r="B6" s="1" t="s">
        <v>45</v>
      </c>
      <c r="C6" s="1" t="s">
        <v>46</v>
      </c>
      <c r="D6" s="1" t="s">
        <v>47</v>
      </c>
      <c r="E6" s="1" t="s">
        <v>48</v>
      </c>
      <c r="F6" s="1" t="s">
        <v>45</v>
      </c>
      <c r="G6" s="1" t="s">
        <v>46</v>
      </c>
      <c r="H6" s="1" t="s">
        <v>47</v>
      </c>
      <c r="I6" s="9" t="s">
        <v>48</v>
      </c>
    </row>
    <row r="7" spans="1:9" ht="27" x14ac:dyDescent="0.6">
      <c r="A7" s="10" t="s">
        <v>49</v>
      </c>
      <c r="B7" s="3">
        <v>559732495</v>
      </c>
      <c r="C7" s="4" t="s">
        <v>87</v>
      </c>
      <c r="D7" s="4" t="s">
        <v>87</v>
      </c>
      <c r="E7" s="3">
        <v>559732495</v>
      </c>
      <c r="F7" s="3">
        <v>1115172304</v>
      </c>
      <c r="G7" s="4" t="s">
        <v>87</v>
      </c>
      <c r="H7" s="4" t="s">
        <v>87</v>
      </c>
      <c r="I7" s="5">
        <v>1115172304</v>
      </c>
    </row>
    <row r="8" spans="1:9" ht="16.899999999999999" customHeight="1" x14ac:dyDescent="0.6">
      <c r="A8" s="10" t="s">
        <v>50</v>
      </c>
      <c r="B8" s="3">
        <v>22723941</v>
      </c>
      <c r="C8" s="4" t="s">
        <v>87</v>
      </c>
      <c r="D8" s="4" t="s">
        <v>87</v>
      </c>
      <c r="E8" s="3">
        <v>22723941</v>
      </c>
      <c r="F8" s="3">
        <v>44920547</v>
      </c>
      <c r="G8" s="4" t="s">
        <v>87</v>
      </c>
      <c r="H8" s="4" t="s">
        <v>87</v>
      </c>
      <c r="I8" s="5">
        <v>44920547</v>
      </c>
    </row>
    <row r="9" spans="1:9" ht="40.5" x14ac:dyDescent="0.6">
      <c r="A9" s="10" t="s">
        <v>51</v>
      </c>
      <c r="B9" s="3">
        <v>66783650</v>
      </c>
      <c r="C9" s="4" t="s">
        <v>87</v>
      </c>
      <c r="D9" s="4" t="s">
        <v>87</v>
      </c>
      <c r="E9" s="3">
        <v>66783650</v>
      </c>
      <c r="F9" s="3">
        <v>132332055</v>
      </c>
      <c r="G9" s="4" t="s">
        <v>87</v>
      </c>
      <c r="H9" s="4" t="s">
        <v>87</v>
      </c>
      <c r="I9" s="5">
        <v>132332055</v>
      </c>
    </row>
    <row r="10" spans="1:9" ht="27" customHeight="1" x14ac:dyDescent="0.6">
      <c r="A10" s="10" t="s">
        <v>52</v>
      </c>
      <c r="B10" s="3">
        <v>2649770</v>
      </c>
      <c r="C10" s="4" t="s">
        <v>87</v>
      </c>
      <c r="D10" s="4" t="s">
        <v>87</v>
      </c>
      <c r="E10" s="3">
        <v>2649770</v>
      </c>
      <c r="F10" s="3">
        <v>5252070</v>
      </c>
      <c r="G10" s="4" t="s">
        <v>87</v>
      </c>
      <c r="H10" s="4" t="s">
        <v>87</v>
      </c>
      <c r="I10" s="5">
        <v>5252070</v>
      </c>
    </row>
    <row r="11" spans="1:9" ht="40.5" x14ac:dyDescent="0.6">
      <c r="A11" s="10" t="s">
        <v>53</v>
      </c>
      <c r="B11" s="3">
        <v>102310387</v>
      </c>
      <c r="C11" s="4" t="s">
        <v>87</v>
      </c>
      <c r="D11" s="4" t="s">
        <v>87</v>
      </c>
      <c r="E11" s="3">
        <v>102310387</v>
      </c>
      <c r="F11" s="3">
        <v>203366613</v>
      </c>
      <c r="G11" s="4" t="s">
        <v>87</v>
      </c>
      <c r="H11" s="4" t="s">
        <v>87</v>
      </c>
      <c r="I11" s="5">
        <v>203366613</v>
      </c>
    </row>
    <row r="12" spans="1:9" ht="27" customHeight="1" x14ac:dyDescent="0.6">
      <c r="A12" s="10" t="s">
        <v>54</v>
      </c>
      <c r="B12" s="3">
        <v>19225474</v>
      </c>
      <c r="C12" s="4" t="s">
        <v>87</v>
      </c>
      <c r="D12" s="4" t="s">
        <v>87</v>
      </c>
      <c r="E12" s="3">
        <v>19225474</v>
      </c>
      <c r="F12" s="3">
        <v>38013139</v>
      </c>
      <c r="G12" s="4" t="s">
        <v>87</v>
      </c>
      <c r="H12" s="4" t="s">
        <v>87</v>
      </c>
      <c r="I12" s="5">
        <v>38013139</v>
      </c>
    </row>
    <row r="13" spans="1:9" ht="40.5" x14ac:dyDescent="0.6">
      <c r="A13" s="10" t="s">
        <v>55</v>
      </c>
      <c r="B13" s="3">
        <v>102564261</v>
      </c>
      <c r="C13" s="4" t="s">
        <v>87</v>
      </c>
      <c r="D13" s="4" t="s">
        <v>87</v>
      </c>
      <c r="E13" s="3">
        <v>102564261</v>
      </c>
      <c r="F13" s="3">
        <v>205267793</v>
      </c>
      <c r="G13" s="4" t="s">
        <v>87</v>
      </c>
      <c r="H13" s="4" t="s">
        <v>87</v>
      </c>
      <c r="I13" s="5">
        <v>205267793</v>
      </c>
    </row>
    <row r="14" spans="1:9" ht="27" x14ac:dyDescent="0.6">
      <c r="A14" s="10" t="s">
        <v>56</v>
      </c>
      <c r="B14" s="3">
        <v>-8981885</v>
      </c>
      <c r="C14" s="4" t="s">
        <v>87</v>
      </c>
      <c r="D14" s="4" t="s">
        <v>87</v>
      </c>
      <c r="E14" s="3">
        <v>-8981885</v>
      </c>
      <c r="F14" s="3">
        <v>-19603778</v>
      </c>
      <c r="G14" s="4" t="s">
        <v>87</v>
      </c>
      <c r="H14" s="4" t="s">
        <v>87</v>
      </c>
      <c r="I14" s="5">
        <v>-19603778</v>
      </c>
    </row>
    <row r="15" spans="1:9" ht="40.5" x14ac:dyDescent="0.6">
      <c r="A15" s="10" t="s">
        <v>57</v>
      </c>
      <c r="B15" s="4" t="s">
        <v>87</v>
      </c>
      <c r="C15" s="3">
        <v>172839028</v>
      </c>
      <c r="D15" s="3">
        <v>164353857</v>
      </c>
      <c r="E15" s="3">
        <v>337192885</v>
      </c>
      <c r="F15" s="4" t="s">
        <v>87</v>
      </c>
      <c r="G15" s="3">
        <v>332078833</v>
      </c>
      <c r="H15" s="3">
        <v>330932019</v>
      </c>
      <c r="I15" s="5">
        <v>663010852</v>
      </c>
    </row>
    <row r="16" spans="1:9" x14ac:dyDescent="0.6">
      <c r="A16" s="14" t="s">
        <v>58</v>
      </c>
      <c r="B16" s="6">
        <v>867008093</v>
      </c>
      <c r="C16" s="6">
        <v>172839028</v>
      </c>
      <c r="D16" s="6">
        <v>164353857</v>
      </c>
      <c r="E16" s="6">
        <v>1204200978</v>
      </c>
      <c r="F16" s="6">
        <v>1724720743</v>
      </c>
      <c r="G16" s="6">
        <v>332078833</v>
      </c>
      <c r="H16" s="6">
        <v>330932019</v>
      </c>
      <c r="I16" s="7">
        <v>2387731595</v>
      </c>
    </row>
    <row r="17" spans="1:9" x14ac:dyDescent="0.6">
      <c r="A17" s="15"/>
    </row>
    <row r="18" spans="1:9" ht="27" customHeight="1" x14ac:dyDescent="0.6">
      <c r="A18" s="11" t="s">
        <v>59</v>
      </c>
    </row>
    <row r="20" spans="1:9" ht="27" customHeight="1" x14ac:dyDescent="0.6">
      <c r="A20" s="11" t="s">
        <v>60</v>
      </c>
    </row>
    <row r="21" spans="1:9" x14ac:dyDescent="0.6">
      <c r="A21" s="12" t="s">
        <v>41</v>
      </c>
      <c r="B21" s="13" t="s">
        <v>42</v>
      </c>
    </row>
    <row r="22" spans="1:9" x14ac:dyDescent="0.6">
      <c r="A22" s="17" t="s">
        <v>43</v>
      </c>
      <c r="B22" s="19" t="s">
        <v>35</v>
      </c>
      <c r="C22" s="20"/>
      <c r="D22" s="20"/>
      <c r="E22" s="21"/>
      <c r="F22" s="19" t="s">
        <v>44</v>
      </c>
      <c r="G22" s="20"/>
      <c r="H22" s="20"/>
      <c r="I22" s="22"/>
    </row>
    <row r="23" spans="1:9" x14ac:dyDescent="0.6">
      <c r="A23" s="18"/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45</v>
      </c>
      <c r="G23" s="1" t="s">
        <v>46</v>
      </c>
      <c r="H23" s="1" t="s">
        <v>47</v>
      </c>
      <c r="I23" s="9" t="s">
        <v>48</v>
      </c>
    </row>
    <row r="24" spans="1:9" ht="27" x14ac:dyDescent="0.6">
      <c r="A24" s="10" t="s">
        <v>61</v>
      </c>
      <c r="B24" s="3">
        <v>562740222</v>
      </c>
      <c r="C24" s="3">
        <v>81621561</v>
      </c>
      <c r="D24" s="3">
        <v>126469285</v>
      </c>
      <c r="E24" s="3">
        <v>770831068</v>
      </c>
      <c r="F24" s="3">
        <v>1174729109</v>
      </c>
      <c r="G24" s="3">
        <v>152053166</v>
      </c>
      <c r="H24" s="3">
        <v>253542667</v>
      </c>
      <c r="I24" s="5">
        <v>1580324942</v>
      </c>
    </row>
    <row r="25" spans="1:9" ht="27" x14ac:dyDescent="0.6">
      <c r="A25" s="10" t="s">
        <v>62</v>
      </c>
      <c r="B25" s="3">
        <v>29245944</v>
      </c>
      <c r="C25" s="3">
        <v>5670684</v>
      </c>
      <c r="D25" s="3">
        <v>10477115</v>
      </c>
      <c r="E25" s="3">
        <v>45393743</v>
      </c>
      <c r="F25" s="3">
        <v>46030169</v>
      </c>
      <c r="G25" s="3">
        <v>12557046</v>
      </c>
      <c r="H25" s="3">
        <v>22941774</v>
      </c>
      <c r="I25" s="5">
        <v>81528989</v>
      </c>
    </row>
    <row r="26" spans="1:9" ht="40.5" x14ac:dyDescent="0.6">
      <c r="A26" s="10" t="s">
        <v>63</v>
      </c>
      <c r="B26" s="3">
        <v>-25814033</v>
      </c>
      <c r="C26" s="3">
        <v>-3670360</v>
      </c>
      <c r="D26" s="3">
        <v>-7824152</v>
      </c>
      <c r="E26" s="3">
        <v>-37308545</v>
      </c>
      <c r="F26" s="3">
        <v>-120244562</v>
      </c>
      <c r="G26" s="3">
        <v>-22122112</v>
      </c>
      <c r="H26" s="3">
        <v>-9371830</v>
      </c>
      <c r="I26" s="5">
        <v>-151738504</v>
      </c>
    </row>
    <row r="27" spans="1:9" ht="27" x14ac:dyDescent="0.6">
      <c r="A27" s="10" t="s">
        <v>64</v>
      </c>
      <c r="B27" s="3">
        <v>58973359</v>
      </c>
      <c r="C27" s="3">
        <v>5293839</v>
      </c>
      <c r="D27" s="3">
        <v>9786260</v>
      </c>
      <c r="E27" s="3">
        <v>74053458</v>
      </c>
      <c r="F27" s="3">
        <v>121461150</v>
      </c>
      <c r="G27" s="3">
        <v>10764789</v>
      </c>
      <c r="H27" s="3">
        <v>18985679</v>
      </c>
      <c r="I27" s="5">
        <v>151211618</v>
      </c>
    </row>
    <row r="28" spans="1:9" ht="27" x14ac:dyDescent="0.6">
      <c r="A28" s="10" t="s">
        <v>65</v>
      </c>
      <c r="B28" s="3">
        <v>2129289</v>
      </c>
      <c r="C28" s="3">
        <v>15728</v>
      </c>
      <c r="D28" s="3">
        <v>35612</v>
      </c>
      <c r="E28" s="3">
        <v>2180629</v>
      </c>
      <c r="F28" s="3">
        <v>5211351</v>
      </c>
      <c r="G28" s="3">
        <v>34582</v>
      </c>
      <c r="H28" s="3">
        <v>53130</v>
      </c>
      <c r="I28" s="5">
        <v>5299063</v>
      </c>
    </row>
    <row r="29" spans="1:9" ht="40.5" x14ac:dyDescent="0.6">
      <c r="A29" s="10" t="s">
        <v>66</v>
      </c>
      <c r="B29" s="3">
        <v>102310387</v>
      </c>
      <c r="C29" s="3">
        <v>21566413</v>
      </c>
      <c r="D29" s="4" t="s">
        <v>87</v>
      </c>
      <c r="E29" s="3">
        <v>123876800</v>
      </c>
      <c r="F29" s="3">
        <v>203366613</v>
      </c>
      <c r="G29" s="3">
        <v>43446085</v>
      </c>
      <c r="H29" s="4" t="s">
        <v>87</v>
      </c>
      <c r="I29" s="5">
        <v>246812698</v>
      </c>
    </row>
    <row r="30" spans="1:9" ht="40.5" x14ac:dyDescent="0.6">
      <c r="A30" s="10" t="s">
        <v>67</v>
      </c>
      <c r="B30" s="4" t="s">
        <v>87</v>
      </c>
      <c r="C30" s="4" t="s">
        <v>87</v>
      </c>
      <c r="D30" s="3">
        <v>15553588</v>
      </c>
      <c r="E30" s="3">
        <v>15553588</v>
      </c>
      <c r="F30" s="4" t="s">
        <v>87</v>
      </c>
      <c r="G30" s="4" t="s">
        <v>87</v>
      </c>
      <c r="H30" s="3">
        <v>32641378</v>
      </c>
      <c r="I30" s="5">
        <v>32641378</v>
      </c>
    </row>
    <row r="31" spans="1:9" ht="54" x14ac:dyDescent="0.6">
      <c r="A31" s="10" t="s">
        <v>68</v>
      </c>
      <c r="B31" s="3">
        <v>8437952</v>
      </c>
      <c r="C31" s="3">
        <v>821097</v>
      </c>
      <c r="D31" s="4" t="s">
        <v>87</v>
      </c>
      <c r="E31" s="3">
        <v>9259049</v>
      </c>
      <c r="F31" s="3">
        <v>-4058757</v>
      </c>
      <c r="G31" s="3">
        <v>840970</v>
      </c>
      <c r="H31" s="4">
        <v>-22</v>
      </c>
      <c r="I31" s="5">
        <v>-3217809</v>
      </c>
    </row>
    <row r="32" spans="1:9" ht="27" x14ac:dyDescent="0.6">
      <c r="A32" s="10" t="s">
        <v>69</v>
      </c>
      <c r="B32" s="3">
        <v>-12776064</v>
      </c>
      <c r="C32" s="3">
        <v>132570</v>
      </c>
      <c r="D32" s="4" t="s">
        <v>87</v>
      </c>
      <c r="E32" s="3">
        <v>-12643494</v>
      </c>
      <c r="F32" s="3">
        <v>-17695724</v>
      </c>
      <c r="G32" s="3">
        <v>155572</v>
      </c>
      <c r="H32" s="4">
        <v>848</v>
      </c>
      <c r="I32" s="5">
        <v>-17539304</v>
      </c>
    </row>
    <row r="33" spans="1:9" x14ac:dyDescent="0.6">
      <c r="A33" s="14" t="s">
        <v>58</v>
      </c>
      <c r="B33" s="6">
        <v>725247056</v>
      </c>
      <c r="C33" s="6">
        <v>111451532</v>
      </c>
      <c r="D33" s="6">
        <v>154497708</v>
      </c>
      <c r="E33" s="6">
        <v>991196296</v>
      </c>
      <c r="F33" s="6">
        <v>1408799349</v>
      </c>
      <c r="G33" s="6">
        <v>197730098</v>
      </c>
      <c r="H33" s="6">
        <v>318793624</v>
      </c>
      <c r="I33" s="7">
        <v>1925323071</v>
      </c>
    </row>
    <row r="34" spans="1:9" x14ac:dyDescent="0.6">
      <c r="A34" s="11" t="s">
        <v>70</v>
      </c>
    </row>
    <row r="36" spans="1:9" ht="35.65" x14ac:dyDescent="0.6">
      <c r="A36" s="11" t="s">
        <v>71</v>
      </c>
    </row>
    <row r="37" spans="1:9" x14ac:dyDescent="0.6">
      <c r="A37" s="12" t="s">
        <v>41</v>
      </c>
      <c r="B37" s="13" t="s">
        <v>42</v>
      </c>
    </row>
    <row r="38" spans="1:9" x14ac:dyDescent="0.6">
      <c r="A38" s="17" t="s">
        <v>43</v>
      </c>
      <c r="B38" s="19" t="s">
        <v>35</v>
      </c>
      <c r="C38" s="20"/>
      <c r="D38" s="20"/>
      <c r="E38" s="21"/>
      <c r="F38" s="19" t="s">
        <v>44</v>
      </c>
      <c r="G38" s="20"/>
      <c r="H38" s="20"/>
      <c r="I38" s="22"/>
    </row>
    <row r="39" spans="1:9" x14ac:dyDescent="0.6">
      <c r="A39" s="18"/>
      <c r="B39" s="1" t="s">
        <v>45</v>
      </c>
      <c r="C39" s="1" t="s">
        <v>46</v>
      </c>
      <c r="D39" s="1" t="s">
        <v>47</v>
      </c>
      <c r="E39" s="1" t="s">
        <v>48</v>
      </c>
      <c r="F39" s="1" t="s">
        <v>45</v>
      </c>
      <c r="G39" s="1" t="s">
        <v>46</v>
      </c>
      <c r="H39" s="1" t="s">
        <v>47</v>
      </c>
      <c r="I39" s="9" t="s">
        <v>48</v>
      </c>
    </row>
    <row r="40" spans="1:9" ht="27" customHeight="1" x14ac:dyDescent="0.6">
      <c r="A40" s="23" t="s">
        <v>72</v>
      </c>
      <c r="B40" s="24"/>
      <c r="C40" s="24"/>
      <c r="D40" s="24"/>
      <c r="E40" s="24"/>
      <c r="F40" s="24"/>
      <c r="G40" s="24"/>
      <c r="H40" s="24"/>
      <c r="I40" s="25"/>
    </row>
    <row r="41" spans="1:9" ht="40.5" x14ac:dyDescent="0.6">
      <c r="A41" s="10" t="s">
        <v>73</v>
      </c>
      <c r="B41" s="3">
        <v>8847648</v>
      </c>
      <c r="C41" s="3">
        <v>30857315</v>
      </c>
      <c r="D41" s="3">
        <v>3624267</v>
      </c>
      <c r="E41" s="3">
        <v>43329230</v>
      </c>
      <c r="F41" s="3">
        <v>17021050</v>
      </c>
      <c r="G41" s="3">
        <v>60124733</v>
      </c>
      <c r="H41" s="3">
        <v>10333504</v>
      </c>
      <c r="I41" s="5">
        <v>87479287</v>
      </c>
    </row>
    <row r="42" spans="1:9" ht="40.5" x14ac:dyDescent="0.6">
      <c r="A42" s="10" t="s">
        <v>74</v>
      </c>
      <c r="B42" s="3">
        <v>-12943</v>
      </c>
      <c r="C42" s="3">
        <v>1363577</v>
      </c>
      <c r="D42" s="4" t="s">
        <v>87</v>
      </c>
      <c r="E42" s="3">
        <v>1350634</v>
      </c>
      <c r="F42" s="3">
        <v>-2713</v>
      </c>
      <c r="G42" s="3">
        <v>2505812</v>
      </c>
      <c r="H42" s="4" t="s">
        <v>87</v>
      </c>
      <c r="I42" s="5">
        <v>2503099</v>
      </c>
    </row>
    <row r="43" spans="1:9" ht="54" x14ac:dyDescent="0.6">
      <c r="A43" s="10" t="s">
        <v>75</v>
      </c>
      <c r="B43" s="3">
        <v>461875</v>
      </c>
      <c r="C43" s="3">
        <v>-5122052</v>
      </c>
      <c r="D43" s="3">
        <v>-5768032</v>
      </c>
      <c r="E43" s="3">
        <v>-10428209</v>
      </c>
      <c r="F43" s="3">
        <v>-5404516</v>
      </c>
      <c r="G43" s="3">
        <v>-24058196</v>
      </c>
      <c r="H43" s="3">
        <v>-14065391</v>
      </c>
      <c r="I43" s="5">
        <v>-43528103</v>
      </c>
    </row>
    <row r="44" spans="1:9" ht="54" x14ac:dyDescent="0.6">
      <c r="A44" s="10" t="s">
        <v>76</v>
      </c>
      <c r="B44" s="3">
        <v>-36339</v>
      </c>
      <c r="C44" s="3">
        <v>-10973</v>
      </c>
      <c r="D44" s="4" t="s">
        <v>87</v>
      </c>
      <c r="E44" s="3">
        <v>-47312</v>
      </c>
      <c r="F44" s="3">
        <v>1178517</v>
      </c>
      <c r="G44" s="3">
        <v>-1089475</v>
      </c>
      <c r="H44" s="4" t="s">
        <v>87</v>
      </c>
      <c r="I44" s="5">
        <v>89042</v>
      </c>
    </row>
    <row r="45" spans="1:9" ht="40.5" x14ac:dyDescent="0.6">
      <c r="A45" s="10" t="s">
        <v>77</v>
      </c>
      <c r="B45" s="3">
        <v>3026948</v>
      </c>
      <c r="C45" s="4" t="s">
        <v>87</v>
      </c>
      <c r="D45" s="4" t="s">
        <v>87</v>
      </c>
      <c r="E45" s="3">
        <v>3026948</v>
      </c>
      <c r="F45" s="3">
        <v>-2410679</v>
      </c>
      <c r="G45" s="4" t="s">
        <v>87</v>
      </c>
      <c r="H45" s="4" t="s">
        <v>87</v>
      </c>
      <c r="I45" s="5">
        <v>-2410679</v>
      </c>
    </row>
    <row r="46" spans="1:9" ht="50.65" customHeight="1" x14ac:dyDescent="0.6">
      <c r="A46" s="16" t="s">
        <v>58</v>
      </c>
      <c r="B46" s="3">
        <v>12287189</v>
      </c>
      <c r="C46" s="3">
        <v>27087867</v>
      </c>
      <c r="D46" s="3">
        <v>-2143765</v>
      </c>
      <c r="E46" s="3">
        <v>37231291</v>
      </c>
      <c r="F46" s="3">
        <v>10381659</v>
      </c>
      <c r="G46" s="3">
        <v>37482874</v>
      </c>
      <c r="H46" s="3">
        <v>-3731887</v>
      </c>
      <c r="I46" s="5">
        <v>44132646</v>
      </c>
    </row>
    <row r="47" spans="1:9" ht="27" customHeight="1" x14ac:dyDescent="0.6">
      <c r="A47" s="23" t="s">
        <v>78</v>
      </c>
      <c r="B47" s="24"/>
      <c r="C47" s="24"/>
      <c r="D47" s="24"/>
      <c r="E47" s="24"/>
      <c r="F47" s="24"/>
      <c r="G47" s="24"/>
      <c r="H47" s="24"/>
      <c r="I47" s="25"/>
    </row>
    <row r="48" spans="1:9" ht="40.5" x14ac:dyDescent="0.6">
      <c r="A48" s="10" t="s">
        <v>79</v>
      </c>
      <c r="B48" s="3">
        <v>9874098</v>
      </c>
      <c r="C48" s="4" t="s">
        <v>87</v>
      </c>
      <c r="D48" s="4" t="s">
        <v>87</v>
      </c>
      <c r="E48" s="3">
        <v>9874098</v>
      </c>
      <c r="F48" s="3">
        <v>20320196</v>
      </c>
      <c r="G48" s="4" t="s">
        <v>87</v>
      </c>
      <c r="H48" s="4" t="s">
        <v>87</v>
      </c>
      <c r="I48" s="5">
        <v>20320196</v>
      </c>
    </row>
    <row r="49" spans="1:9" ht="40.5" x14ac:dyDescent="0.6">
      <c r="A49" s="10" t="s">
        <v>80</v>
      </c>
      <c r="B49" s="3">
        <v>203707</v>
      </c>
      <c r="C49" s="4" t="s">
        <v>87</v>
      </c>
      <c r="D49" s="4" t="s">
        <v>87</v>
      </c>
      <c r="E49" s="3">
        <v>203707</v>
      </c>
      <c r="F49" s="3">
        <v>434628</v>
      </c>
      <c r="G49" s="4" t="s">
        <v>87</v>
      </c>
      <c r="H49" s="4" t="s">
        <v>87</v>
      </c>
      <c r="I49" s="5">
        <v>434628</v>
      </c>
    </row>
    <row r="50" spans="1:9" ht="54" x14ac:dyDescent="0.6">
      <c r="A50" s="10" t="s">
        <v>81</v>
      </c>
      <c r="B50" s="3">
        <v>707634</v>
      </c>
      <c r="C50" s="4" t="s">
        <v>87</v>
      </c>
      <c r="D50" s="4" t="s">
        <v>87</v>
      </c>
      <c r="E50" s="3">
        <v>707634</v>
      </c>
      <c r="F50" s="3">
        <v>1362649</v>
      </c>
      <c r="G50" s="4" t="s">
        <v>87</v>
      </c>
      <c r="H50" s="4" t="s">
        <v>87</v>
      </c>
      <c r="I50" s="5">
        <v>1362649</v>
      </c>
    </row>
    <row r="51" spans="1:9" ht="40.5" x14ac:dyDescent="0.6">
      <c r="A51" s="10" t="s">
        <v>82</v>
      </c>
      <c r="B51" s="3">
        <v>328045</v>
      </c>
      <c r="C51" s="4" t="s">
        <v>87</v>
      </c>
      <c r="D51" s="4" t="s">
        <v>87</v>
      </c>
      <c r="E51" s="3">
        <v>328045</v>
      </c>
      <c r="F51" s="3">
        <v>694771</v>
      </c>
      <c r="G51" s="4" t="s">
        <v>87</v>
      </c>
      <c r="H51" s="4" t="s">
        <v>87</v>
      </c>
      <c r="I51" s="5">
        <v>694771</v>
      </c>
    </row>
    <row r="52" spans="1:9" ht="40.5" x14ac:dyDescent="0.6">
      <c r="A52" s="10" t="s">
        <v>83</v>
      </c>
      <c r="B52" s="3">
        <v>-165008</v>
      </c>
      <c r="C52" s="4" t="s">
        <v>87</v>
      </c>
      <c r="D52" s="4" t="s">
        <v>87</v>
      </c>
      <c r="E52" s="3">
        <v>-165008</v>
      </c>
      <c r="F52" s="3">
        <v>-327181</v>
      </c>
      <c r="G52" s="4" t="s">
        <v>87</v>
      </c>
      <c r="H52" s="4" t="s">
        <v>87</v>
      </c>
      <c r="I52" s="5">
        <v>-327181</v>
      </c>
    </row>
    <row r="53" spans="1:9" ht="40.5" x14ac:dyDescent="0.6">
      <c r="A53" s="10" t="s">
        <v>84</v>
      </c>
      <c r="B53" s="3">
        <v>-626658</v>
      </c>
      <c r="C53" s="4" t="s">
        <v>87</v>
      </c>
      <c r="D53" s="4" t="s">
        <v>87</v>
      </c>
      <c r="E53" s="3">
        <v>-626658</v>
      </c>
      <c r="F53" s="3">
        <v>-1319800</v>
      </c>
      <c r="G53" s="4" t="s">
        <v>87</v>
      </c>
      <c r="H53" s="4" t="s">
        <v>87</v>
      </c>
      <c r="I53" s="5">
        <v>-1319800</v>
      </c>
    </row>
    <row r="54" spans="1:9" ht="54" x14ac:dyDescent="0.6">
      <c r="A54" s="10" t="s">
        <v>85</v>
      </c>
      <c r="B54" s="3">
        <v>2493452</v>
      </c>
      <c r="C54" s="3">
        <v>68096757</v>
      </c>
      <c r="D54" s="3">
        <v>1071784</v>
      </c>
      <c r="E54" s="3">
        <v>71661993</v>
      </c>
      <c r="F54" s="3">
        <v>4241794</v>
      </c>
      <c r="G54" s="3">
        <v>132860201</v>
      </c>
      <c r="H54" s="3">
        <v>1667960</v>
      </c>
      <c r="I54" s="5">
        <v>138769955</v>
      </c>
    </row>
    <row r="55" spans="1:9" ht="40.5" x14ac:dyDescent="0.6">
      <c r="A55" s="10" t="s">
        <v>86</v>
      </c>
      <c r="B55" s="3">
        <v>-37513</v>
      </c>
      <c r="C55" s="4" t="s">
        <v>87</v>
      </c>
      <c r="D55" s="4" t="s">
        <v>87</v>
      </c>
      <c r="E55" s="3">
        <v>-37513</v>
      </c>
      <c r="F55" s="3">
        <v>-343900</v>
      </c>
      <c r="G55" s="4" t="s">
        <v>87</v>
      </c>
      <c r="H55" s="4" t="s">
        <v>87</v>
      </c>
      <c r="I55" s="5">
        <v>-343900</v>
      </c>
    </row>
    <row r="56" spans="1:9" x14ac:dyDescent="0.6">
      <c r="A56" s="14" t="s">
        <v>58</v>
      </c>
      <c r="B56" s="6">
        <v>12777757</v>
      </c>
      <c r="C56" s="6">
        <v>68096757</v>
      </c>
      <c r="D56" s="6">
        <v>1071784</v>
      </c>
      <c r="E56" s="6">
        <v>81946298</v>
      </c>
      <c r="F56" s="6">
        <v>25063157</v>
      </c>
      <c r="G56" s="6">
        <v>132860201</v>
      </c>
      <c r="H56" s="6">
        <v>1667960</v>
      </c>
      <c r="I56" s="7">
        <v>159591318</v>
      </c>
    </row>
    <row r="57" spans="1:9" x14ac:dyDescent="0.6">
      <c r="A57" s="15"/>
    </row>
  </sheetData>
  <mergeCells count="11">
    <mergeCell ref="A22:A23"/>
    <mergeCell ref="B22:E22"/>
    <mergeCell ref="F22:I22"/>
    <mergeCell ref="A5:A6"/>
    <mergeCell ref="B5:E5"/>
    <mergeCell ref="F5:I5"/>
    <mergeCell ref="A38:A39"/>
    <mergeCell ref="B38:E38"/>
    <mergeCell ref="F38:I38"/>
    <mergeCell ref="A40:I40"/>
    <mergeCell ref="A47:I4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2026-06-06T14:27:00Z</dcterms:modified>
</cp:coreProperties>
</file>