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31EA4E8E-D8B6-4A32-93B6-57F5FE36DC5C}" xr6:coauthVersionLast="47" xr6:coauthVersionMax="47" xr10:uidLastSave="{00000000-0000-0000-0000-000000000000}"/>
  <bookViews>
    <workbookView xWindow="10718" yWindow="0" windowWidth="10965" windowHeight="13223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1" l="1"/>
  <c r="I21" i="1"/>
  <c r="H11" i="2"/>
  <c r="H10" i="2"/>
  <c r="H9" i="2"/>
  <c r="H13" i="2" s="1"/>
  <c r="H12" i="2"/>
  <c r="H7" i="2"/>
  <c r="H4" i="2"/>
  <c r="H3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I22" i="1"/>
  <c r="I5" i="1"/>
  <c r="H24" i="2"/>
  <c r="I24" i="2" s="1"/>
  <c r="H22" i="2"/>
  <c r="H20" i="2"/>
  <c r="H18" i="2"/>
  <c r="H17" i="2"/>
  <c r="H15" i="2"/>
  <c r="H14" i="2"/>
  <c r="H6" i="2"/>
  <c r="H5" i="2"/>
  <c r="E3" i="2"/>
  <c r="E4" i="2" s="1"/>
  <c r="E5" i="2" s="1"/>
  <c r="E6" i="2" s="1"/>
  <c r="H8" i="2" l="1"/>
  <c r="H19" i="2"/>
  <c r="H2" i="2"/>
  <c r="I2" i="2" s="1"/>
  <c r="H21" i="2" l="1"/>
  <c r="I21" i="2" s="1"/>
  <c r="H23" i="2" l="1"/>
  <c r="I23" i="2" s="1"/>
  <c r="H25" i="2" l="1"/>
  <c r="I25" i="2" s="1"/>
</calcChain>
</file>

<file path=xl/sharedStrings.xml><?xml version="1.0" encoding="utf-8"?>
<sst xmlns="http://schemas.openxmlformats.org/spreadsheetml/2006/main" count="288" uniqueCount="129">
  <si>
    <t>구  분</t>
  </si>
  <si>
    <t>국내</t>
  </si>
  <si>
    <t>해외</t>
  </si>
  <si>
    <t>합  계</t>
  </si>
  <si>
    <t>장기</t>
  </si>
  <si>
    <t>일반</t>
  </si>
  <si>
    <t>자동차</t>
  </si>
  <si>
    <t>보험수익</t>
  </si>
  <si>
    <t>보험료배분접근법 미적용 계약 보험수익</t>
  </si>
  <si>
    <t>-</t>
  </si>
  <si>
    <t>예상보험금 및 보험서비스비용</t>
  </si>
  <si>
    <t>위험해제에 따른 위험조정 변동</t>
  </si>
  <si>
    <t>당기손익으로 인식한 보험계약마진 금액</t>
  </si>
  <si>
    <t>그 밖의 금액</t>
  </si>
  <si>
    <t>보험취득현금흐름의 회수</t>
  </si>
  <si>
    <t>보험료배분접근법 적용 계약 보험수익</t>
  </si>
  <si>
    <t>총 보험수익</t>
  </si>
  <si>
    <t>보험서비스비용</t>
  </si>
  <si>
    <t>보험료배분접근법 미적용 계약 보험서비스비용</t>
  </si>
  <si>
    <t>보험금 및 보험서비스비용</t>
  </si>
  <si>
    <t>보험취득현금흐름</t>
  </si>
  <si>
    <t>발생사고 이행현금흐름 변동분</t>
  </si>
  <si>
    <t>손실부담계약의 손실 및 환입</t>
  </si>
  <si>
    <t>보험료배분접근법 적용 계약 보험서비스비용</t>
  </si>
  <si>
    <t>총 보험서비스비용</t>
  </si>
  <si>
    <t>재보험수익</t>
  </si>
  <si>
    <t>보험료배분접근법 미적용 계약 재보험수익</t>
  </si>
  <si>
    <t>회수가능 보험금 및 보험서비스비용</t>
  </si>
  <si>
    <t>손실회수요소의 인식 및 환입</t>
  </si>
  <si>
    <t>보험료배분접근법 적용 계약 재보험수익</t>
  </si>
  <si>
    <t>총 재보험수익</t>
  </si>
  <si>
    <t>재보험비용</t>
  </si>
  <si>
    <t>보험료배분접근법 미적용 계약 재보험비용</t>
  </si>
  <si>
    <t>회수예상 보험금 및 보험서비스비용</t>
  </si>
  <si>
    <t>보험료배분접근법 적용 계약 재보험비용</t>
  </si>
  <si>
    <t>총 재보험비용</t>
  </si>
  <si>
    <t>총 보험서비스결과</t>
  </si>
  <si>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</si>
  <si>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</si>
  <si>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</si>
  <si>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</si>
  <si>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</si>
  <si>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</si>
  <si>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</si>
  <si>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</si>
  <si>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</si>
  <si>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손해보험</t>
  </si>
  <si>
    <t>보험손익</t>
    <phoneticPr fontId="2" type="noConversion"/>
  </si>
  <si>
    <t>2025.4Q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</si>
  <si>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</si>
  <si>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</si>
  <si>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</si>
  <si>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</si>
  <si>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</si>
  <si>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</si>
  <si>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</si>
  <si>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</si>
  <si>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</si>
  <si>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</si>
  <si>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</si>
  <si>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</si>
  <si>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KR0001</t>
    <phoneticPr fontId="2" type="noConversion"/>
  </si>
  <si>
    <t>메리츠화재</t>
    <phoneticPr fontId="2" type="noConversion"/>
  </si>
  <si>
    <t>제 105 기</t>
  </si>
  <si>
    <t>제 104 기</t>
  </si>
  <si>
    <t>제 103 기</t>
  </si>
  <si>
    <t>보험손익</t>
  </si>
  <si>
    <t>　보험영업수익</t>
  </si>
  <si>
    <t>　　보험수익</t>
  </si>
  <si>
    <t>　　재보험수익</t>
  </si>
  <si>
    <t>　보험서비스비용</t>
  </si>
  <si>
    <t>　　보험비용</t>
  </si>
  <si>
    <t>　　재보험비용</t>
  </si>
  <si>
    <t>　　기타사업비용</t>
  </si>
  <si>
    <t>투자손익</t>
  </si>
  <si>
    <t>　투자영업수익</t>
  </si>
  <si>
    <t>　　재보험금융수익</t>
  </si>
  <si>
    <t>　　이자수익</t>
  </si>
  <si>
    <t>　　배당금수익</t>
  </si>
  <si>
    <t>　　금융상품투자수익</t>
  </si>
  <si>
    <t>　　관계기업투자주식관련이익</t>
  </si>
  <si>
    <t>　　기타투자수익</t>
  </si>
  <si>
    <t>　투자영업비용</t>
  </si>
  <si>
    <t>　　보험금융비용</t>
  </si>
  <si>
    <t>　　금융부채의 이자비용</t>
  </si>
  <si>
    <t>　　금융상품투자비용</t>
  </si>
  <si>
    <t>　　재산관리비</t>
  </si>
  <si>
    <t>　　기타투자비용</t>
  </si>
  <si>
    <t>　영업외수익</t>
  </si>
  <si>
    <t>　영업외비용</t>
  </si>
  <si>
    <t>법인세차감전순이익</t>
  </si>
  <si>
    <t>법인세비용</t>
  </si>
  <si>
    <t>대손준비금 반영후 조정이익</t>
  </si>
  <si>
    <t>비상위험준비금 반영후 조정이익</t>
  </si>
  <si>
    <t>해약환급금준비금 반영후 조정이익</t>
  </si>
  <si>
    <t>당기순이익(손실)의 귀속</t>
  </si>
  <si>
    <t>　지배기업의 소유주에게 귀속되는 당기순이익</t>
  </si>
  <si>
    <t>　비지배지분에 귀속되는 당기순이익</t>
  </si>
  <si>
    <t>기타포괄손익</t>
  </si>
  <si>
    <t>　당기손익으로 재분류되지 않는 세후기타포괄손익의 구성요소</t>
  </si>
  <si>
    <t>　　확정급여제도의재측정요소</t>
  </si>
  <si>
    <t>　　재평가잉여금</t>
  </si>
  <si>
    <t>　　기타포괄손익-공정가치측정유가증권평가손익</t>
  </si>
  <si>
    <t>　당기손익으로 재분류되는 세후기타포괄손익의 구성요소</t>
  </si>
  <si>
    <t>　　보험계약자산(부채)순금융손익</t>
  </si>
  <si>
    <t>　　재보험계약자산(부채)순금융손익</t>
  </si>
  <si>
    <t>　　기타포괄손익-공정가치측정금융자산관련손익</t>
  </si>
  <si>
    <t>　　기타포괄손익-공정가치측정 신용손실</t>
  </si>
  <si>
    <t>　　현금흐름위험회피파생상품평가손익</t>
  </si>
  <si>
    <t>　　해외사업환산손익</t>
  </si>
  <si>
    <t>총포괄손익</t>
  </si>
  <si>
    <t>당기포괄손익의 귀속</t>
  </si>
  <si>
    <t>　지배기업의 소유주에게 귀속되는 당기총포괄손익</t>
  </si>
  <si>
    <t>　비지배지분에 귀속되는 당기총포괄손익</t>
  </si>
  <si>
    <t>주당이익</t>
  </si>
  <si>
    <t>　보통주기본주당이익(손실) (단위 : 원)</t>
  </si>
  <si>
    <t>　보통주희석주당이익(손실) (단위 : 원)</t>
  </si>
  <si>
    <t>생명장기 손익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</si>
  <si>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</si>
  <si>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</si>
  <si>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</si>
  <si>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</si>
  <si>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</si>
  <si>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</si>
  <si>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</si>
  <si>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</si>
  <si>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</si>
  <si>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</si>
  <si>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손해보험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</si>
</sst>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right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0" fontId="0" fillId="0" borderId="0" xfId="0" applyAlignment="1"/>
    <xf numFmtId="3" fontId="3" fillId="0" borderId="0" xfId="0" applyNumberFormat="1" applyFo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24" bestFit="1" customWidth="1"/>
    <col min="8" max="8" width="15.1875" bestFit="1" customWidth="1"/>
  </cols>
  <sheetData>
    <row r="1" spans="1:9" x14ac:dyDescent="0.6">
      <c r="A1" s="13" t="s">
        <v>37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</row>
    <row r="2" spans="1:9" x14ac:dyDescent="0.6">
      <c r="A2" s="13" t="s">
        <v>61</v>
      </c>
      <c r="B2" s="13" t="s">
        <v>62</v>
      </c>
      <c r="C2" s="13"/>
      <c r="D2" s="13" t="s">
        <v>46</v>
      </c>
      <c r="E2" s="13">
        <v>1</v>
      </c>
      <c r="F2" t="s">
        <v>47</v>
      </c>
      <c r="G2" s="13" t="s">
        <v>48</v>
      </c>
      <c r="H2" s="1">
        <f>H3+H14+H15+H16-H17</f>
        <v>1426994.9196349999</v>
      </c>
      <c r="I2" t="b">
        <f>ROUND(H2,0)=ROUND(포괄손익계산서!B2/1000000,0)</f>
        <v>1</v>
      </c>
    </row>
    <row r="3" spans="1:9" x14ac:dyDescent="0.6">
      <c r="A3" s="13" t="s">
        <v>61</v>
      </c>
      <c r="B3" s="13" t="s">
        <v>62</v>
      </c>
      <c r="C3" s="13"/>
      <c r="D3" s="13" t="s">
        <v>46</v>
      </c>
      <c r="E3">
        <f t="shared" ref="E3:E5" si="0">E2+1</f>
        <v>2</v>
      </c>
      <c r="F3" t="s">
        <v>117</v>
      </c>
      <c r="G3" t="s">
        <v>48</v>
      </c>
      <c r="H3" s="1">
        <f>H4+H9</f>
        <v>1573297</v>
      </c>
    </row>
    <row r="4" spans="1:9" x14ac:dyDescent="0.6">
      <c r="A4" s="13" t="s">
        <v>61</v>
      </c>
      <c r="B4" s="13" t="s">
        <v>62</v>
      </c>
      <c r="C4" s="13"/>
      <c r="D4" s="13" t="s">
        <v>46</v>
      </c>
      <c r="E4">
        <f t="shared" si="0"/>
        <v>3</v>
      </c>
      <c r="F4" t="s">
        <v>118</v>
      </c>
      <c r="G4" t="s">
        <v>48</v>
      </c>
      <c r="H4" s="1">
        <f>SUM(부문별!B5:B10)-SUM(부문별!B14:B18)</f>
        <v>1614188</v>
      </c>
    </row>
    <row r="5" spans="1:9" x14ac:dyDescent="0.6">
      <c r="A5" s="13" t="s">
        <v>61</v>
      </c>
      <c r="B5" s="13" t="s">
        <v>62</v>
      </c>
      <c r="C5" s="13"/>
      <c r="D5" s="13" t="s">
        <v>128</v>
      </c>
      <c r="E5">
        <f t="shared" si="0"/>
        <v>4</v>
      </c>
      <c r="F5" t="s">
        <v>119</v>
      </c>
      <c r="G5" t="s">
        <v>48</v>
      </c>
      <c r="H5" s="14">
        <f>부문별!B7</f>
        <v>1167264</v>
      </c>
    </row>
    <row r="6" spans="1:9" x14ac:dyDescent="0.6">
      <c r="A6" s="13" t="s">
        <v>61</v>
      </c>
      <c r="B6" s="13" t="s">
        <v>62</v>
      </c>
      <c r="C6" s="13"/>
      <c r="D6" s="13" t="s">
        <v>128</v>
      </c>
      <c r="E6">
        <f t="shared" ref="E6:E25" si="1">E5+1</f>
        <v>5</v>
      </c>
      <c r="F6" t="s">
        <v>120</v>
      </c>
      <c r="G6" t="s">
        <v>48</v>
      </c>
      <c r="H6" s="14">
        <f>부문별!B6</f>
        <v>181943</v>
      </c>
    </row>
    <row r="7" spans="1:9" x14ac:dyDescent="0.6">
      <c r="A7" s="13" t="s">
        <v>61</v>
      </c>
      <c r="B7" s="13" t="s">
        <v>62</v>
      </c>
      <c r="C7" s="13"/>
      <c r="D7" s="13" t="s">
        <v>128</v>
      </c>
      <c r="E7">
        <f t="shared" ref="E7:E25" si="2">E6+1</f>
        <v>6</v>
      </c>
      <c r="F7" t="s">
        <v>121</v>
      </c>
      <c r="G7" t="s">
        <v>48</v>
      </c>
      <c r="H7" s="1">
        <f>부문별!B5-부문별!B14</f>
        <v>-187506</v>
      </c>
    </row>
    <row r="8" spans="1:9" x14ac:dyDescent="0.6">
      <c r="A8" s="13" t="s">
        <v>61</v>
      </c>
      <c r="B8" s="13" t="s">
        <v>62</v>
      </c>
      <c r="C8" s="13"/>
      <c r="D8" s="13" t="s">
        <v>128</v>
      </c>
      <c r="E8">
        <f t="shared" si="2"/>
        <v>7</v>
      </c>
      <c r="F8" t="s">
        <v>122</v>
      </c>
      <c r="G8" t="s">
        <v>48</v>
      </c>
      <c r="H8" s="1">
        <f>H4-SUM(H5:H7)</f>
        <v>452487</v>
      </c>
    </row>
    <row r="9" spans="1:9" x14ac:dyDescent="0.6">
      <c r="A9" s="13" t="s">
        <v>61</v>
      </c>
      <c r="B9" s="13" t="s">
        <v>62</v>
      </c>
      <c r="C9" s="13"/>
      <c r="D9" s="13" t="s">
        <v>128</v>
      </c>
      <c r="E9">
        <f t="shared" si="2"/>
        <v>8</v>
      </c>
      <c r="F9" t="s">
        <v>123</v>
      </c>
      <c r="G9" t="s">
        <v>48</v>
      </c>
      <c r="H9" s="1">
        <f>SUM(부문별!B22:B25)-SUM(부문별!B29:B33)</f>
        <v>-40891</v>
      </c>
    </row>
    <row r="10" spans="1:9" x14ac:dyDescent="0.6">
      <c r="A10" s="13" t="s">
        <v>61</v>
      </c>
      <c r="B10" s="13" t="s">
        <v>62</v>
      </c>
      <c r="C10" s="13"/>
      <c r="D10" s="13" t="s">
        <v>128</v>
      </c>
      <c r="E10">
        <f t="shared" si="2"/>
        <v>9</v>
      </c>
      <c r="F10" t="s">
        <v>124</v>
      </c>
      <c r="G10" t="s">
        <v>48</v>
      </c>
      <c r="H10" s="1">
        <f>-부문별!B31</f>
        <v>-34966</v>
      </c>
    </row>
    <row r="11" spans="1:9" x14ac:dyDescent="0.6">
      <c r="A11" s="13" t="s">
        <v>61</v>
      </c>
      <c r="B11" s="13" t="s">
        <v>62</v>
      </c>
      <c r="C11" s="13"/>
      <c r="D11" s="13" t="s">
        <v>128</v>
      </c>
      <c r="E11">
        <f t="shared" si="2"/>
        <v>10</v>
      </c>
      <c r="F11" t="s">
        <v>125</v>
      </c>
      <c r="G11" t="s">
        <v>48</v>
      </c>
      <c r="H11" s="1">
        <f>-부문별!B30</f>
        <v>-8699</v>
      </c>
    </row>
    <row r="12" spans="1:9" x14ac:dyDescent="0.6">
      <c r="A12" s="13" t="s">
        <v>61</v>
      </c>
      <c r="B12" s="13" t="s">
        <v>62</v>
      </c>
      <c r="C12" s="13"/>
      <c r="D12" s="13" t="s">
        <v>128</v>
      </c>
      <c r="E12">
        <f t="shared" si="2"/>
        <v>11</v>
      </c>
      <c r="F12" t="s">
        <v>126</v>
      </c>
      <c r="G12" t="s">
        <v>48</v>
      </c>
      <c r="H12" s="1">
        <f>-부문별!B29+부문별!B22</f>
        <v>51886</v>
      </c>
    </row>
    <row r="13" spans="1:9" x14ac:dyDescent="0.6">
      <c r="A13" s="13" t="s">
        <v>61</v>
      </c>
      <c r="B13" s="13" t="s">
        <v>62</v>
      </c>
      <c r="C13" s="13"/>
      <c r="D13" s="13" t="s">
        <v>128</v>
      </c>
      <c r="E13">
        <f t="shared" si="2"/>
        <v>12</v>
      </c>
      <c r="F13" t="s">
        <v>127</v>
      </c>
      <c r="G13" t="s">
        <v>48</v>
      </c>
      <c r="H13" s="1">
        <f>H9-SUM(H10:H12)</f>
        <v>-49112</v>
      </c>
    </row>
    <row r="14" spans="1:9" x14ac:dyDescent="0.6">
      <c r="A14" s="13" t="s">
        <v>61</v>
      </c>
      <c r="B14" s="13" t="s">
        <v>62</v>
      </c>
      <c r="C14" s="13"/>
      <c r="D14" s="13" t="s">
        <v>128</v>
      </c>
      <c r="E14">
        <f t="shared" si="2"/>
        <v>13</v>
      </c>
      <c r="F14" t="s">
        <v>49</v>
      </c>
      <c r="G14" t="s">
        <v>48</v>
      </c>
      <c r="H14" s="1">
        <f>부문별!D35</f>
        <v>-46324</v>
      </c>
    </row>
    <row r="15" spans="1:9" x14ac:dyDescent="0.6">
      <c r="A15" s="13" t="s">
        <v>61</v>
      </c>
      <c r="B15" s="13" t="s">
        <v>62</v>
      </c>
      <c r="C15" s="13"/>
      <c r="D15" s="13" t="s">
        <v>46</v>
      </c>
      <c r="E15">
        <f t="shared" si="2"/>
        <v>14</v>
      </c>
      <c r="F15" t="s">
        <v>50</v>
      </c>
      <c r="G15" t="s">
        <v>48</v>
      </c>
      <c r="H15" s="1">
        <f>부문별!C35+부문별!E35</f>
        <v>33482</v>
      </c>
    </row>
    <row r="16" spans="1:9" x14ac:dyDescent="0.6">
      <c r="A16" s="13" t="s">
        <v>61</v>
      </c>
      <c r="B16" s="13" t="s">
        <v>62</v>
      </c>
      <c r="C16" s="13"/>
      <c r="D16" s="13" t="s">
        <v>46</v>
      </c>
      <c r="E16">
        <f t="shared" si="2"/>
        <v>15</v>
      </c>
      <c r="F16" t="s">
        <v>51</v>
      </c>
      <c r="G16" t="s">
        <v>48</v>
      </c>
      <c r="H16" s="1">
        <v>0</v>
      </c>
    </row>
    <row r="17" spans="1:9" x14ac:dyDescent="0.6">
      <c r="A17" s="13" t="s">
        <v>61</v>
      </c>
      <c r="B17" s="13" t="s">
        <v>62</v>
      </c>
      <c r="C17" s="13"/>
      <c r="D17" s="13" t="s">
        <v>46</v>
      </c>
      <c r="E17">
        <f t="shared" si="2"/>
        <v>16</v>
      </c>
      <c r="F17" t="s">
        <v>52</v>
      </c>
      <c r="G17" t="s">
        <v>48</v>
      </c>
      <c r="H17" s="1">
        <f>포괄손익계산서!B9/1000000</f>
        <v>133460.080365</v>
      </c>
    </row>
    <row r="18" spans="1:9" x14ac:dyDescent="0.6">
      <c r="A18" s="13" t="s">
        <v>61</v>
      </c>
      <c r="B18" s="13" t="s">
        <v>62</v>
      </c>
      <c r="C18" s="13"/>
      <c r="D18" s="13" t="s">
        <v>46</v>
      </c>
      <c r="E18">
        <f t="shared" si="2"/>
        <v>17</v>
      </c>
      <c r="F18" t="s">
        <v>53</v>
      </c>
      <c r="G18" t="s">
        <v>48</v>
      </c>
      <c r="H18" s="1">
        <f>포괄손익계산서!B10/1000000</f>
        <v>859525.27037399996</v>
      </c>
    </row>
    <row r="19" spans="1:9" x14ac:dyDescent="0.6">
      <c r="A19" s="13" t="s">
        <v>61</v>
      </c>
      <c r="B19" s="13" t="s">
        <v>62</v>
      </c>
      <c r="C19" s="13"/>
      <c r="D19" s="13" t="s">
        <v>46</v>
      </c>
      <c r="E19">
        <f t="shared" si="2"/>
        <v>18</v>
      </c>
      <c r="F19" t="s">
        <v>54</v>
      </c>
      <c r="G19" t="s">
        <v>48</v>
      </c>
      <c r="H19" s="1">
        <f>H18-H20</f>
        <v>1501195.571919</v>
      </c>
    </row>
    <row r="20" spans="1:9" x14ac:dyDescent="0.6">
      <c r="A20" s="13" t="s">
        <v>61</v>
      </c>
      <c r="B20" s="13" t="s">
        <v>62</v>
      </c>
      <c r="C20" s="13"/>
      <c r="D20" s="13" t="s">
        <v>46</v>
      </c>
      <c r="E20">
        <f t="shared" si="2"/>
        <v>19</v>
      </c>
      <c r="F20" t="s">
        <v>55</v>
      </c>
      <c r="G20" t="s">
        <v>48</v>
      </c>
      <c r="H20" s="1">
        <f>(포괄손익계산서!B12-포괄손익계산서!B19)/1000000</f>
        <v>-641670.30154500005</v>
      </c>
    </row>
    <row r="21" spans="1:9" x14ac:dyDescent="0.6">
      <c r="A21" s="13" t="s">
        <v>61</v>
      </c>
      <c r="B21" s="13" t="s">
        <v>62</v>
      </c>
      <c r="C21" s="13"/>
      <c r="D21" s="13" t="s">
        <v>46</v>
      </c>
      <c r="E21">
        <f t="shared" si="2"/>
        <v>20</v>
      </c>
      <c r="F21" t="s">
        <v>56</v>
      </c>
      <c r="G21" t="s">
        <v>48</v>
      </c>
      <c r="H21" s="1">
        <f>H2+H18</f>
        <v>2286520.1900089998</v>
      </c>
      <c r="I21" t="b">
        <f>ROUND(H21,0)=ROUND(포괄손익계산서!B24/1000000,0)</f>
        <v>1</v>
      </c>
    </row>
    <row r="22" spans="1:9" x14ac:dyDescent="0.6">
      <c r="A22" s="13" t="s">
        <v>61</v>
      </c>
      <c r="B22" s="13" t="s">
        <v>62</v>
      </c>
      <c r="C22" s="13"/>
      <c r="D22" s="13" t="s">
        <v>46</v>
      </c>
      <c r="E22">
        <f t="shared" si="2"/>
        <v>21</v>
      </c>
      <c r="F22" t="s">
        <v>57</v>
      </c>
      <c r="G22" t="s">
        <v>48</v>
      </c>
      <c r="H22" s="1">
        <f>포괄손익계산서!B25/1000000</f>
        <v>23476.183976</v>
      </c>
    </row>
    <row r="23" spans="1:9" x14ac:dyDescent="0.6">
      <c r="A23" s="13" t="s">
        <v>61</v>
      </c>
      <c r="B23" s="13" t="s">
        <v>62</v>
      </c>
      <c r="C23" s="13"/>
      <c r="D23" s="13" t="s">
        <v>46</v>
      </c>
      <c r="E23">
        <f t="shared" si="2"/>
        <v>22</v>
      </c>
      <c r="F23" t="s">
        <v>58</v>
      </c>
      <c r="G23" t="s">
        <v>48</v>
      </c>
      <c r="H23" s="1">
        <f>H21+H22</f>
        <v>2309996.373985</v>
      </c>
      <c r="I23" t="b">
        <f>ROUND(H23,0)=ROUND(포괄손익계산서!B28/1000000,0)</f>
        <v>1</v>
      </c>
    </row>
    <row r="24" spans="1:9" x14ac:dyDescent="0.6">
      <c r="A24" s="13" t="s">
        <v>61</v>
      </c>
      <c r="B24" s="13" t="s">
        <v>62</v>
      </c>
      <c r="C24" s="13"/>
      <c r="D24" s="13" t="s">
        <v>46</v>
      </c>
      <c r="E24">
        <f t="shared" si="2"/>
        <v>23</v>
      </c>
      <c r="F24" t="s">
        <v>59</v>
      </c>
      <c r="G24" t="s">
        <v>48</v>
      </c>
      <c r="H24" s="1">
        <f>포괄손익계산서!B29/1000000</f>
        <v>617129.28963699995</v>
      </c>
      <c r="I24" t="b">
        <f>ROUND(H24,0)=ROUND(포괄손익계산서!B29/1000000,0)</f>
        <v>1</v>
      </c>
    </row>
    <row r="25" spans="1:9" x14ac:dyDescent="0.6">
      <c r="A25" s="13" t="s">
        <v>61</v>
      </c>
      <c r="B25" s="13" t="s">
        <v>62</v>
      </c>
      <c r="C25" s="13"/>
      <c r="D25" s="13" t="s">
        <v>46</v>
      </c>
      <c r="E25">
        <f t="shared" si="2"/>
        <v>24</v>
      </c>
      <c r="F25" t="s">
        <v>60</v>
      </c>
      <c r="G25" t="s">
        <v>48</v>
      </c>
      <c r="H25" s="1">
        <f>H23-H24</f>
        <v>1692867.0843480001</v>
      </c>
      <c r="I25" t="b">
        <f>ROUND(H25,0)=ROUND(포괄손익계산서!B30/1000000,0)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I35"/>
  <sheetViews>
    <sheetView topLeftCell="A4" zoomScale="70" zoomScaleNormal="70" workbookViewId="0">
      <selection activeCell="B23" sqref="B23"/>
    </sheetView>
  </sheetViews>
  <sheetFormatPr defaultRowHeight="16.899999999999999" x14ac:dyDescent="0.6"/>
  <cols>
    <col min="1" max="1" width="40.875" bestFit="1" customWidth="1"/>
    <col min="2" max="2" width="9.8125" bestFit="1" customWidth="1"/>
    <col min="3" max="3" width="8.125" bestFit="1" customWidth="1"/>
    <col min="4" max="4" width="8.1875" bestFit="1" customWidth="1"/>
    <col min="5" max="5" width="7.125" bestFit="1" customWidth="1"/>
    <col min="6" max="6" width="9.8125" bestFit="1" customWidth="1"/>
  </cols>
  <sheetData>
    <row r="1" spans="1:9" x14ac:dyDescent="0.6">
      <c r="A1" s="15" t="s">
        <v>0</v>
      </c>
      <c r="B1" s="17" t="s">
        <v>1</v>
      </c>
      <c r="C1" s="18"/>
      <c r="D1" s="19"/>
      <c r="E1" s="20" t="s">
        <v>2</v>
      </c>
      <c r="F1" s="22" t="s">
        <v>3</v>
      </c>
    </row>
    <row r="2" spans="1:9" x14ac:dyDescent="0.6">
      <c r="A2" s="16"/>
      <c r="B2" s="2" t="s">
        <v>4</v>
      </c>
      <c r="C2" s="2" t="s">
        <v>5</v>
      </c>
      <c r="D2" s="2" t="s">
        <v>6</v>
      </c>
      <c r="E2" s="21"/>
      <c r="F2" s="23"/>
    </row>
    <row r="3" spans="1:9" x14ac:dyDescent="0.3">
      <c r="A3" s="3" t="s">
        <v>7</v>
      </c>
      <c r="B3" s="4"/>
      <c r="C3" s="4"/>
      <c r="D3" s="4"/>
      <c r="E3" s="4"/>
      <c r="F3" s="5"/>
    </row>
    <row r="4" spans="1:9" x14ac:dyDescent="0.3">
      <c r="A4" s="3" t="s">
        <v>8</v>
      </c>
      <c r="B4" s="6">
        <v>7400884</v>
      </c>
      <c r="C4" s="4" t="s">
        <v>9</v>
      </c>
      <c r="D4" s="4" t="s">
        <v>9</v>
      </c>
      <c r="E4" s="4" t="s">
        <v>9</v>
      </c>
      <c r="F4" s="7">
        <v>7400884</v>
      </c>
    </row>
    <row r="5" spans="1:9" x14ac:dyDescent="0.3">
      <c r="A5" s="8" t="s">
        <v>10</v>
      </c>
      <c r="B5" s="6">
        <v>5125633</v>
      </c>
      <c r="C5" s="4" t="s">
        <v>9</v>
      </c>
      <c r="D5" s="4" t="s">
        <v>9</v>
      </c>
      <c r="E5" s="4" t="s">
        <v>9</v>
      </c>
      <c r="F5" s="7">
        <v>5125633</v>
      </c>
      <c r="I5" s="1">
        <f>B5-B14</f>
        <v>-187506</v>
      </c>
    </row>
    <row r="6" spans="1:9" x14ac:dyDescent="0.3">
      <c r="A6" s="8" t="s">
        <v>11</v>
      </c>
      <c r="B6" s="6">
        <v>181943</v>
      </c>
      <c r="C6" s="4" t="s">
        <v>9</v>
      </c>
      <c r="D6" s="4" t="s">
        <v>9</v>
      </c>
      <c r="E6" s="4" t="s">
        <v>9</v>
      </c>
      <c r="F6" s="7">
        <v>181943</v>
      </c>
    </row>
    <row r="7" spans="1:9" x14ac:dyDescent="0.3">
      <c r="A7" s="8" t="s">
        <v>12</v>
      </c>
      <c r="B7" s="6">
        <v>1167264</v>
      </c>
      <c r="C7" s="4" t="s">
        <v>9</v>
      </c>
      <c r="D7" s="4" t="s">
        <v>9</v>
      </c>
      <c r="E7" s="4" t="s">
        <v>9</v>
      </c>
      <c r="F7" s="7">
        <v>1167264</v>
      </c>
    </row>
    <row r="8" spans="1:9" x14ac:dyDescent="0.3">
      <c r="A8" s="8" t="s">
        <v>13</v>
      </c>
      <c r="B8" s="6">
        <v>1457</v>
      </c>
      <c r="C8" s="4" t="s">
        <v>9</v>
      </c>
      <c r="D8" s="4" t="s">
        <v>9</v>
      </c>
      <c r="E8" s="4" t="s">
        <v>9</v>
      </c>
      <c r="F8" s="7">
        <v>1457</v>
      </c>
    </row>
    <row r="9" spans="1:9" x14ac:dyDescent="0.3">
      <c r="A9" s="8" t="s">
        <v>14</v>
      </c>
      <c r="B9" s="6">
        <v>924587</v>
      </c>
      <c r="C9" s="4" t="s">
        <v>9</v>
      </c>
      <c r="D9" s="4" t="s">
        <v>9</v>
      </c>
      <c r="E9" s="4" t="s">
        <v>9</v>
      </c>
      <c r="F9" s="7">
        <v>924587</v>
      </c>
    </row>
    <row r="10" spans="1:9" x14ac:dyDescent="0.3">
      <c r="A10" s="3" t="s">
        <v>15</v>
      </c>
      <c r="B10" s="4" t="s">
        <v>9</v>
      </c>
      <c r="C10" s="6">
        <v>965791</v>
      </c>
      <c r="D10" s="6">
        <v>743309</v>
      </c>
      <c r="E10" s="6">
        <v>28061</v>
      </c>
      <c r="F10" s="7">
        <v>1737161</v>
      </c>
    </row>
    <row r="11" spans="1:9" x14ac:dyDescent="0.3">
      <c r="A11" s="9" t="s">
        <v>16</v>
      </c>
      <c r="B11" s="6">
        <v>7400884</v>
      </c>
      <c r="C11" s="6">
        <v>965791</v>
      </c>
      <c r="D11" s="6">
        <v>743309</v>
      </c>
      <c r="E11" s="6">
        <v>28061</v>
      </c>
      <c r="F11" s="7">
        <v>9138045</v>
      </c>
    </row>
    <row r="12" spans="1:9" x14ac:dyDescent="0.3">
      <c r="A12" s="3" t="s">
        <v>17</v>
      </c>
      <c r="B12" s="4"/>
      <c r="C12" s="4"/>
      <c r="D12" s="4"/>
      <c r="E12" s="4"/>
      <c r="F12" s="5"/>
    </row>
    <row r="13" spans="1:9" x14ac:dyDescent="0.3">
      <c r="A13" s="3" t="s">
        <v>18</v>
      </c>
      <c r="B13" s="6">
        <v>5786696</v>
      </c>
      <c r="C13" s="4" t="s">
        <v>9</v>
      </c>
      <c r="D13" s="4" t="s">
        <v>9</v>
      </c>
      <c r="E13" s="4" t="s">
        <v>9</v>
      </c>
      <c r="F13" s="7">
        <v>5786696</v>
      </c>
    </row>
    <row r="14" spans="1:9" x14ac:dyDescent="0.3">
      <c r="A14" s="8" t="s">
        <v>19</v>
      </c>
      <c r="B14" s="6">
        <v>5313139</v>
      </c>
      <c r="C14" s="4" t="s">
        <v>9</v>
      </c>
      <c r="D14" s="4" t="s">
        <v>9</v>
      </c>
      <c r="E14" s="4" t="s">
        <v>9</v>
      </c>
      <c r="F14" s="7">
        <v>5313139</v>
      </c>
    </row>
    <row r="15" spans="1:9" x14ac:dyDescent="0.3">
      <c r="A15" s="8" t="s">
        <v>20</v>
      </c>
      <c r="B15" s="6">
        <v>924587</v>
      </c>
      <c r="C15" s="4" t="s">
        <v>9</v>
      </c>
      <c r="D15" s="4" t="s">
        <v>9</v>
      </c>
      <c r="E15" s="4" t="s">
        <v>9</v>
      </c>
      <c r="F15" s="7">
        <v>924587</v>
      </c>
    </row>
    <row r="16" spans="1:9" x14ac:dyDescent="0.3">
      <c r="A16" s="8" t="s">
        <v>21</v>
      </c>
      <c r="B16" s="6">
        <v>-174512</v>
      </c>
      <c r="C16" s="4" t="s">
        <v>9</v>
      </c>
      <c r="D16" s="4" t="s">
        <v>9</v>
      </c>
      <c r="E16" s="4" t="s">
        <v>9</v>
      </c>
      <c r="F16" s="7">
        <v>-174512</v>
      </c>
    </row>
    <row r="17" spans="1:9" x14ac:dyDescent="0.3">
      <c r="A17" s="8" t="s">
        <v>22</v>
      </c>
      <c r="B17" s="6">
        <v>-276518</v>
      </c>
      <c r="C17" s="4" t="s">
        <v>9</v>
      </c>
      <c r="D17" s="4" t="s">
        <v>9</v>
      </c>
      <c r="E17" s="4" t="s">
        <v>9</v>
      </c>
      <c r="F17" s="7">
        <v>-276518</v>
      </c>
    </row>
    <row r="18" spans="1:9" x14ac:dyDescent="0.3">
      <c r="A18" s="3" t="s">
        <v>23</v>
      </c>
      <c r="B18" s="4" t="s">
        <v>9</v>
      </c>
      <c r="C18" s="6">
        <v>768039</v>
      </c>
      <c r="D18" s="6">
        <v>791510</v>
      </c>
      <c r="E18" s="6">
        <v>13355</v>
      </c>
      <c r="F18" s="7">
        <v>1572904</v>
      </c>
    </row>
    <row r="19" spans="1:9" x14ac:dyDescent="0.3">
      <c r="A19" s="9" t="s">
        <v>24</v>
      </c>
      <c r="B19" s="6">
        <v>5786696</v>
      </c>
      <c r="C19" s="6">
        <v>768039</v>
      </c>
      <c r="D19" s="6">
        <v>791510</v>
      </c>
      <c r="E19" s="6">
        <v>13355</v>
      </c>
      <c r="F19" s="7">
        <v>7359600</v>
      </c>
    </row>
    <row r="20" spans="1:9" x14ac:dyDescent="0.3">
      <c r="A20" s="3" t="s">
        <v>25</v>
      </c>
      <c r="B20" s="4"/>
      <c r="C20" s="4"/>
      <c r="D20" s="4"/>
      <c r="E20" s="4"/>
      <c r="F20" s="5"/>
    </row>
    <row r="21" spans="1:9" x14ac:dyDescent="0.3">
      <c r="A21" s="3" t="s">
        <v>26</v>
      </c>
      <c r="B21" s="6">
        <v>247803</v>
      </c>
      <c r="C21" s="4" t="s">
        <v>9</v>
      </c>
      <c r="D21" s="4" t="s">
        <v>9</v>
      </c>
      <c r="E21" s="4" t="s">
        <v>9</v>
      </c>
      <c r="F21" s="7">
        <v>247803</v>
      </c>
      <c r="I21" s="1">
        <f>B21-B28</f>
        <v>-42505</v>
      </c>
    </row>
    <row r="22" spans="1:9" x14ac:dyDescent="0.3">
      <c r="A22" s="8" t="s">
        <v>27</v>
      </c>
      <c r="B22" s="6">
        <v>317661</v>
      </c>
      <c r="C22" s="4" t="s">
        <v>9</v>
      </c>
      <c r="D22" s="4" t="s">
        <v>9</v>
      </c>
      <c r="E22" s="4" t="s">
        <v>9</v>
      </c>
      <c r="F22" s="7">
        <v>317661</v>
      </c>
      <c r="I22" s="1">
        <f>B22-B29</f>
        <v>51886</v>
      </c>
    </row>
    <row r="23" spans="1:9" x14ac:dyDescent="0.3">
      <c r="A23" s="8" t="s">
        <v>21</v>
      </c>
      <c r="B23" s="6">
        <v>-58920</v>
      </c>
      <c r="C23" s="4" t="s">
        <v>9</v>
      </c>
      <c r="D23" s="4" t="s">
        <v>9</v>
      </c>
      <c r="E23" s="4" t="s">
        <v>9</v>
      </c>
      <c r="F23" s="7">
        <v>-58920</v>
      </c>
      <c r="I23" s="1"/>
    </row>
    <row r="24" spans="1:9" x14ac:dyDescent="0.3">
      <c r="A24" s="8" t="s">
        <v>28</v>
      </c>
      <c r="B24" s="6">
        <v>-10938</v>
      </c>
      <c r="C24" s="4" t="s">
        <v>9</v>
      </c>
      <c r="D24" s="4" t="s">
        <v>9</v>
      </c>
      <c r="E24" s="4" t="s">
        <v>9</v>
      </c>
      <c r="F24" s="7">
        <v>-10938</v>
      </c>
    </row>
    <row r="25" spans="1:9" x14ac:dyDescent="0.3">
      <c r="A25" s="3" t="s">
        <v>29</v>
      </c>
      <c r="B25" s="6">
        <v>2376</v>
      </c>
      <c r="C25" s="6">
        <v>176787</v>
      </c>
      <c r="D25" s="6">
        <v>5104</v>
      </c>
      <c r="E25" s="6">
        <v>8892</v>
      </c>
      <c r="F25" s="7">
        <v>193159</v>
      </c>
      <c r="I25" s="1">
        <f>B25-B33</f>
        <v>1614</v>
      </c>
    </row>
    <row r="26" spans="1:9" x14ac:dyDescent="0.3">
      <c r="A26" s="9" t="s">
        <v>30</v>
      </c>
      <c r="B26" s="6">
        <v>250179</v>
      </c>
      <c r="C26" s="6">
        <v>176787</v>
      </c>
      <c r="D26" s="6">
        <v>5104</v>
      </c>
      <c r="E26" s="6">
        <v>8892</v>
      </c>
      <c r="F26" s="7">
        <v>440962</v>
      </c>
    </row>
    <row r="27" spans="1:9" x14ac:dyDescent="0.3">
      <c r="A27" s="3" t="s">
        <v>31</v>
      </c>
      <c r="B27" s="4"/>
      <c r="C27" s="4"/>
      <c r="D27" s="4"/>
      <c r="E27" s="4"/>
      <c r="F27" s="5"/>
    </row>
    <row r="28" spans="1:9" x14ac:dyDescent="0.3">
      <c r="A28" s="3" t="s">
        <v>32</v>
      </c>
      <c r="B28" s="6">
        <v>290308</v>
      </c>
      <c r="C28" s="4" t="s">
        <v>9</v>
      </c>
      <c r="D28" s="4" t="s">
        <v>9</v>
      </c>
      <c r="E28" s="4" t="s">
        <v>9</v>
      </c>
      <c r="F28" s="7">
        <v>290308</v>
      </c>
    </row>
    <row r="29" spans="1:9" x14ac:dyDescent="0.3">
      <c r="A29" s="8" t="s">
        <v>33</v>
      </c>
      <c r="B29" s="6">
        <v>265775</v>
      </c>
      <c r="C29" s="4" t="s">
        <v>9</v>
      </c>
      <c r="D29" s="4" t="s">
        <v>9</v>
      </c>
      <c r="E29" s="4" t="s">
        <v>9</v>
      </c>
      <c r="F29" s="7">
        <v>265775</v>
      </c>
    </row>
    <row r="30" spans="1:9" x14ac:dyDescent="0.3">
      <c r="A30" s="8" t="s">
        <v>11</v>
      </c>
      <c r="B30" s="6">
        <v>8699</v>
      </c>
      <c r="C30" s="4" t="s">
        <v>9</v>
      </c>
      <c r="D30" s="4" t="s">
        <v>9</v>
      </c>
      <c r="E30" s="4" t="s">
        <v>9</v>
      </c>
      <c r="F30" s="7">
        <v>8699</v>
      </c>
    </row>
    <row r="31" spans="1:9" x14ac:dyDescent="0.3">
      <c r="A31" s="8" t="s">
        <v>12</v>
      </c>
      <c r="B31" s="6">
        <v>34966</v>
      </c>
      <c r="C31" s="4" t="s">
        <v>9</v>
      </c>
      <c r="D31" s="4" t="s">
        <v>9</v>
      </c>
      <c r="E31" s="4" t="s">
        <v>9</v>
      </c>
      <c r="F31" s="7">
        <v>34966</v>
      </c>
    </row>
    <row r="32" spans="1:9" x14ac:dyDescent="0.3">
      <c r="A32" s="8" t="s">
        <v>13</v>
      </c>
      <c r="B32" s="6">
        <v>-19132</v>
      </c>
      <c r="C32" s="4" t="s">
        <v>9</v>
      </c>
      <c r="D32" s="4" t="s">
        <v>9</v>
      </c>
      <c r="E32" s="4" t="s">
        <v>9</v>
      </c>
      <c r="F32" s="7">
        <v>-19132</v>
      </c>
    </row>
    <row r="33" spans="1:6" x14ac:dyDescent="0.3">
      <c r="A33" s="3" t="s">
        <v>34</v>
      </c>
      <c r="B33" s="4">
        <v>762</v>
      </c>
      <c r="C33" s="6">
        <v>338392</v>
      </c>
      <c r="D33" s="6">
        <v>3227</v>
      </c>
      <c r="E33" s="6">
        <v>26263</v>
      </c>
      <c r="F33" s="7">
        <v>368644</v>
      </c>
    </row>
    <row r="34" spans="1:6" x14ac:dyDescent="0.3">
      <c r="A34" s="9" t="s">
        <v>35</v>
      </c>
      <c r="B34" s="6">
        <v>291070</v>
      </c>
      <c r="C34" s="6">
        <v>338392</v>
      </c>
      <c r="D34" s="6">
        <v>3227</v>
      </c>
      <c r="E34" s="6">
        <v>26263</v>
      </c>
      <c r="F34" s="7">
        <v>658952</v>
      </c>
    </row>
    <row r="35" spans="1:6" x14ac:dyDescent="0.3">
      <c r="A35" s="10" t="s">
        <v>36</v>
      </c>
      <c r="B35" s="11">
        <v>1573297</v>
      </c>
      <c r="C35" s="11">
        <v>36147</v>
      </c>
      <c r="D35" s="11">
        <v>-46324</v>
      </c>
      <c r="E35" s="11">
        <v>-2665</v>
      </c>
      <c r="F35" s="12">
        <v>1560455</v>
      </c>
    </row>
  </sheetData>
  <mergeCells count="4">
    <mergeCell ref="A1:A2"/>
    <mergeCell ref="B1:D1"/>
    <mergeCell ref="E1:E2"/>
    <mergeCell ref="F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D5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6.899999999999999" x14ac:dyDescent="0.6"/>
  <cols>
    <col min="1" max="1" width="54.8125" bestFit="1" customWidth="1"/>
    <col min="2" max="2" width="15.8125" bestFit="1" customWidth="1"/>
    <col min="3" max="4" width="16.625" bestFit="1" customWidth="1"/>
  </cols>
  <sheetData>
    <row r="1" spans="1:4" x14ac:dyDescent="0.6">
      <c r="B1" t="s">
        <v>63</v>
      </c>
      <c r="C1" t="s">
        <v>64</v>
      </c>
      <c r="D1" t="s">
        <v>65</v>
      </c>
    </row>
    <row r="2" spans="1:4" x14ac:dyDescent="0.6">
      <c r="A2" t="s">
        <v>66</v>
      </c>
      <c r="B2" s="1">
        <v>1426994645423</v>
      </c>
      <c r="C2" s="1">
        <v>1533621761264</v>
      </c>
      <c r="D2" s="1">
        <v>1498804722569</v>
      </c>
    </row>
    <row r="3" spans="1:4" x14ac:dyDescent="0.6">
      <c r="A3" t="s">
        <v>67</v>
      </c>
      <c r="B3" s="1">
        <v>9579006416927</v>
      </c>
      <c r="C3" s="1">
        <v>9005381295057</v>
      </c>
      <c r="D3" s="1">
        <v>8708861033640</v>
      </c>
    </row>
    <row r="4" spans="1:4" x14ac:dyDescent="0.6">
      <c r="A4" t="s">
        <v>68</v>
      </c>
      <c r="B4" s="1">
        <v>9138044575300</v>
      </c>
      <c r="C4" s="1">
        <v>8732407363966</v>
      </c>
      <c r="D4" s="1">
        <v>8370464810917</v>
      </c>
    </row>
    <row r="5" spans="1:4" x14ac:dyDescent="0.6">
      <c r="A5" t="s">
        <v>69</v>
      </c>
      <c r="B5" s="1">
        <v>440961841627</v>
      </c>
      <c r="C5" s="1">
        <v>272973931091</v>
      </c>
      <c r="D5" s="1">
        <v>338396222723</v>
      </c>
    </row>
    <row r="6" spans="1:4" x14ac:dyDescent="0.6">
      <c r="A6" t="s">
        <v>70</v>
      </c>
      <c r="B6" s="1">
        <v>8152011771504</v>
      </c>
      <c r="C6" s="1">
        <v>7471759533793</v>
      </c>
      <c r="D6" s="1">
        <v>7210056311071</v>
      </c>
    </row>
    <row r="7" spans="1:4" x14ac:dyDescent="0.6">
      <c r="A7" t="s">
        <v>71</v>
      </c>
      <c r="B7" s="1">
        <v>7359599723954</v>
      </c>
      <c r="C7" s="1">
        <v>6721407590568</v>
      </c>
      <c r="D7" s="1">
        <v>6217610050418</v>
      </c>
    </row>
    <row r="8" spans="1:4" x14ac:dyDescent="0.6">
      <c r="A8" t="s">
        <v>72</v>
      </c>
      <c r="B8" s="1">
        <v>658951967185</v>
      </c>
      <c r="C8" s="1">
        <v>593294922438</v>
      </c>
      <c r="D8" s="1">
        <v>726081922453</v>
      </c>
    </row>
    <row r="9" spans="1:4" x14ac:dyDescent="0.6">
      <c r="A9" t="s">
        <v>73</v>
      </c>
      <c r="B9" s="1">
        <v>133460080365</v>
      </c>
      <c r="C9" s="1">
        <v>157057020787</v>
      </c>
      <c r="D9" s="1">
        <v>266364338200</v>
      </c>
    </row>
    <row r="10" spans="1:4" x14ac:dyDescent="0.6">
      <c r="A10" t="s">
        <v>74</v>
      </c>
      <c r="B10" s="1">
        <v>859525270374</v>
      </c>
      <c r="C10" s="1">
        <v>763672000222</v>
      </c>
      <c r="D10" s="1">
        <v>609207104384</v>
      </c>
    </row>
    <row r="11" spans="1:4" x14ac:dyDescent="0.6">
      <c r="A11" t="s">
        <v>75</v>
      </c>
      <c r="B11" s="1">
        <v>2788821469774</v>
      </c>
      <c r="C11" s="1">
        <v>2647781954156</v>
      </c>
      <c r="D11" s="1">
        <v>2224640951710</v>
      </c>
    </row>
    <row r="12" spans="1:4" x14ac:dyDescent="0.6">
      <c r="A12" t="s">
        <v>76</v>
      </c>
      <c r="B12" s="1">
        <v>33567916331</v>
      </c>
      <c r="C12" s="1">
        <v>27919351787</v>
      </c>
      <c r="D12" s="1">
        <v>25932864124</v>
      </c>
    </row>
    <row r="13" spans="1:4" x14ac:dyDescent="0.6">
      <c r="A13" t="s">
        <v>77</v>
      </c>
      <c r="B13" s="1">
        <v>1706153719273</v>
      </c>
      <c r="C13" s="1">
        <v>1729617449139</v>
      </c>
      <c r="D13" s="1">
        <v>1494236385921</v>
      </c>
    </row>
    <row r="14" spans="1:4" x14ac:dyDescent="0.6">
      <c r="A14" t="s">
        <v>78</v>
      </c>
      <c r="B14" s="1">
        <v>45727721993</v>
      </c>
      <c r="C14" s="1">
        <v>25549493438</v>
      </c>
      <c r="D14" s="1">
        <v>43235174754</v>
      </c>
    </row>
    <row r="15" spans="1:4" x14ac:dyDescent="0.6">
      <c r="A15" t="s">
        <v>79</v>
      </c>
      <c r="B15" s="1">
        <v>497257414277</v>
      </c>
      <c r="C15" s="1">
        <v>257264096812</v>
      </c>
      <c r="D15" s="1">
        <v>234273771129</v>
      </c>
    </row>
    <row r="16" spans="1:4" x14ac:dyDescent="0.6">
      <c r="A16" t="s">
        <v>80</v>
      </c>
      <c r="B16" s="1">
        <v>135896035</v>
      </c>
      <c r="C16">
        <v>0</v>
      </c>
      <c r="D16">
        <v>0</v>
      </c>
    </row>
    <row r="17" spans="1:4" x14ac:dyDescent="0.6">
      <c r="A17" t="s">
        <v>81</v>
      </c>
      <c r="B17" s="1">
        <v>505978801865</v>
      </c>
      <c r="C17" s="1">
        <v>607431562980</v>
      </c>
      <c r="D17" s="1">
        <v>426962755782</v>
      </c>
    </row>
    <row r="18" spans="1:4" x14ac:dyDescent="0.6">
      <c r="A18" t="s">
        <v>82</v>
      </c>
      <c r="B18" s="1">
        <v>1929296199400</v>
      </c>
      <c r="C18" s="1">
        <v>1884109953934</v>
      </c>
      <c r="D18" s="1">
        <v>1615433847326</v>
      </c>
    </row>
    <row r="19" spans="1:4" x14ac:dyDescent="0.6">
      <c r="A19" t="s">
        <v>83</v>
      </c>
      <c r="B19" s="1">
        <v>675238217876</v>
      </c>
      <c r="C19" s="1">
        <v>719221843999</v>
      </c>
      <c r="D19" s="1">
        <v>673995363422</v>
      </c>
    </row>
    <row r="20" spans="1:4" x14ac:dyDescent="0.6">
      <c r="A20" t="s">
        <v>84</v>
      </c>
      <c r="B20" s="1">
        <v>524531022940</v>
      </c>
      <c r="C20" s="1">
        <v>534579713264</v>
      </c>
      <c r="D20" s="1">
        <v>475205874053</v>
      </c>
    </row>
    <row r="21" spans="1:4" x14ac:dyDescent="0.6">
      <c r="A21" t="s">
        <v>85</v>
      </c>
      <c r="B21" s="1">
        <v>526419886421</v>
      </c>
      <c r="C21" s="1">
        <v>513623641611</v>
      </c>
      <c r="D21" s="1">
        <v>314030224914</v>
      </c>
    </row>
    <row r="22" spans="1:4" x14ac:dyDescent="0.6">
      <c r="A22" t="s">
        <v>86</v>
      </c>
      <c r="B22" s="1">
        <v>45978198113</v>
      </c>
      <c r="C22" s="1">
        <v>19961252859</v>
      </c>
      <c r="D22" s="1">
        <v>33864170957</v>
      </c>
    </row>
    <row r="23" spans="1:4" x14ac:dyDescent="0.6">
      <c r="A23" t="s">
        <v>87</v>
      </c>
      <c r="B23" s="1">
        <v>157128874050</v>
      </c>
      <c r="C23" s="1">
        <v>96723502201</v>
      </c>
      <c r="D23" s="1">
        <v>118338213980</v>
      </c>
    </row>
    <row r="24" spans="1:4" x14ac:dyDescent="0.6">
      <c r="A24" t="s">
        <v>56</v>
      </c>
      <c r="B24" s="1">
        <v>2286519915797</v>
      </c>
      <c r="C24" s="1">
        <v>2297293761486</v>
      </c>
      <c r="D24" s="1">
        <v>2108011826953</v>
      </c>
    </row>
    <row r="25" spans="1:4" x14ac:dyDescent="0.6">
      <c r="A25" t="s">
        <v>57</v>
      </c>
      <c r="B25" s="1">
        <v>23476183976</v>
      </c>
      <c r="C25" s="1">
        <v>5315087012</v>
      </c>
      <c r="D25" s="1">
        <v>11831907421</v>
      </c>
    </row>
    <row r="26" spans="1:4" x14ac:dyDescent="0.6">
      <c r="A26" t="s">
        <v>88</v>
      </c>
      <c r="B26" s="1">
        <v>28735854240</v>
      </c>
      <c r="C26" s="1">
        <v>8240086390</v>
      </c>
      <c r="D26" s="1">
        <v>16145530618</v>
      </c>
    </row>
    <row r="27" spans="1:4" x14ac:dyDescent="0.6">
      <c r="A27" t="s">
        <v>89</v>
      </c>
      <c r="B27" s="1">
        <v>5259670264</v>
      </c>
      <c r="C27" s="1">
        <v>2924999378</v>
      </c>
      <c r="D27" s="1">
        <v>4313623197</v>
      </c>
    </row>
    <row r="28" spans="1:4" x14ac:dyDescent="0.6">
      <c r="A28" t="s">
        <v>90</v>
      </c>
      <c r="B28" s="1">
        <v>2309996099773</v>
      </c>
      <c r="C28" s="1">
        <v>2302608848498</v>
      </c>
      <c r="D28" s="1">
        <v>2119843734374</v>
      </c>
    </row>
    <row r="29" spans="1:4" x14ac:dyDescent="0.6">
      <c r="A29" t="s">
        <v>91</v>
      </c>
      <c r="B29" s="1">
        <v>617129289637</v>
      </c>
      <c r="C29" s="1">
        <v>589073043424</v>
      </c>
      <c r="D29" s="1">
        <v>552681865845</v>
      </c>
    </row>
    <row r="30" spans="1:4" x14ac:dyDescent="0.6">
      <c r="A30" t="s">
        <v>60</v>
      </c>
      <c r="B30" s="1">
        <v>1692866810136</v>
      </c>
      <c r="C30" s="1">
        <v>1713535805074</v>
      </c>
      <c r="D30" s="1">
        <v>1567161868529</v>
      </c>
    </row>
    <row r="31" spans="1:4" x14ac:dyDescent="0.6">
      <c r="A31" t="s">
        <v>92</v>
      </c>
      <c r="B31" s="1">
        <v>1436573793000</v>
      </c>
      <c r="C31" s="1">
        <v>1578279805411</v>
      </c>
      <c r="D31" s="1">
        <v>1548779980560</v>
      </c>
    </row>
    <row r="32" spans="1:4" x14ac:dyDescent="0.6">
      <c r="A32" t="s">
        <v>93</v>
      </c>
      <c r="B32" s="1">
        <v>1671440024614</v>
      </c>
      <c r="C32" s="1">
        <v>1681764088278</v>
      </c>
      <c r="D32" s="1">
        <v>1535605522685</v>
      </c>
    </row>
    <row r="33" spans="1:4" x14ac:dyDescent="0.6">
      <c r="A33" t="s">
        <v>94</v>
      </c>
      <c r="B33" s="1">
        <v>509389757205</v>
      </c>
      <c r="C33" s="1">
        <v>951701360396</v>
      </c>
      <c r="D33" s="1">
        <v>535906964104</v>
      </c>
    </row>
    <row r="34" spans="1:4" x14ac:dyDescent="0.6">
      <c r="A34" t="s">
        <v>95</v>
      </c>
    </row>
    <row r="35" spans="1:4" x14ac:dyDescent="0.6">
      <c r="A35" t="s">
        <v>96</v>
      </c>
      <c r="B35" s="1">
        <v>1691460204813</v>
      </c>
      <c r="C35" s="1">
        <v>1713148278431</v>
      </c>
      <c r="D35" s="1">
        <v>1566328317547</v>
      </c>
    </row>
    <row r="36" spans="1:4" x14ac:dyDescent="0.6">
      <c r="A36" t="s">
        <v>97</v>
      </c>
      <c r="B36" s="1">
        <v>1406605323</v>
      </c>
      <c r="C36" s="1">
        <v>387526643</v>
      </c>
      <c r="D36" s="1">
        <v>833550982</v>
      </c>
    </row>
    <row r="37" spans="1:4" x14ac:dyDescent="0.6">
      <c r="A37" t="s">
        <v>98</v>
      </c>
      <c r="B37" s="1">
        <v>-589588251367</v>
      </c>
      <c r="C37" s="1">
        <v>-647568160110</v>
      </c>
      <c r="D37" s="1">
        <v>253869061251</v>
      </c>
    </row>
    <row r="38" spans="1:4" x14ac:dyDescent="0.6">
      <c r="A38" t="s">
        <v>99</v>
      </c>
      <c r="B38" s="1">
        <v>4878597673</v>
      </c>
      <c r="C38" s="1">
        <v>103295587594</v>
      </c>
      <c r="D38" s="1">
        <v>23058139025</v>
      </c>
    </row>
    <row r="39" spans="1:4" x14ac:dyDescent="0.6">
      <c r="A39" t="s">
        <v>100</v>
      </c>
      <c r="B39" s="1">
        <v>-545390839</v>
      </c>
      <c r="C39" s="1">
        <v>-9757772254</v>
      </c>
      <c r="D39" s="1">
        <v>-9227860641</v>
      </c>
    </row>
    <row r="40" spans="1:4" x14ac:dyDescent="0.6">
      <c r="A40" t="s">
        <v>101</v>
      </c>
      <c r="B40" s="1">
        <v>-5697561799</v>
      </c>
      <c r="C40" s="1">
        <v>87148058846</v>
      </c>
      <c r="D40">
        <v>0</v>
      </c>
    </row>
    <row r="41" spans="1:4" x14ac:dyDescent="0.6">
      <c r="A41" t="s">
        <v>102</v>
      </c>
      <c r="B41" s="1">
        <v>11121550311</v>
      </c>
      <c r="C41" s="1">
        <v>25905301002</v>
      </c>
      <c r="D41" s="1">
        <v>32285999666</v>
      </c>
    </row>
    <row r="42" spans="1:4" x14ac:dyDescent="0.6">
      <c r="A42" t="s">
        <v>103</v>
      </c>
      <c r="B42" s="1">
        <v>-594466849040</v>
      </c>
      <c r="C42" s="1">
        <v>-750863747704</v>
      </c>
      <c r="D42" s="1">
        <v>230810922226</v>
      </c>
    </row>
    <row r="43" spans="1:4" x14ac:dyDescent="0.6">
      <c r="A43" t="s">
        <v>104</v>
      </c>
      <c r="B43" s="1">
        <v>736604164917</v>
      </c>
      <c r="C43" s="1">
        <v>-1690940215782</v>
      </c>
      <c r="D43" s="1">
        <v>-1263324514720</v>
      </c>
    </row>
    <row r="44" spans="1:4" x14ac:dyDescent="0.6">
      <c r="A44" t="s">
        <v>105</v>
      </c>
      <c r="B44" s="1">
        <v>-52956074027</v>
      </c>
      <c r="C44" s="1">
        <v>45160141473</v>
      </c>
      <c r="D44" s="1">
        <v>85457738393</v>
      </c>
    </row>
    <row r="45" spans="1:4" x14ac:dyDescent="0.6">
      <c r="A45" t="s">
        <v>106</v>
      </c>
      <c r="B45" s="1">
        <v>-878082483130</v>
      </c>
      <c r="C45" s="1">
        <v>642744514718</v>
      </c>
      <c r="D45" s="1">
        <v>1056331813672</v>
      </c>
    </row>
    <row r="46" spans="1:4" x14ac:dyDescent="0.6">
      <c r="A46" t="s">
        <v>107</v>
      </c>
      <c r="B46" s="1">
        <v>-9539692451</v>
      </c>
      <c r="C46" s="1">
        <v>74408922564</v>
      </c>
      <c r="D46" s="1">
        <v>54656167178</v>
      </c>
    </row>
    <row r="47" spans="1:4" x14ac:dyDescent="0.6">
      <c r="A47" t="s">
        <v>108</v>
      </c>
      <c r="B47" s="1">
        <v>-388787541919</v>
      </c>
      <c r="C47" s="1">
        <v>175504288526</v>
      </c>
      <c r="D47" s="1">
        <v>297002758475</v>
      </c>
    </row>
    <row r="48" spans="1:4" x14ac:dyDescent="0.6">
      <c r="A48" t="s">
        <v>109</v>
      </c>
      <c r="B48" s="1">
        <v>-1705222430</v>
      </c>
      <c r="C48" s="1">
        <v>2258600797</v>
      </c>
      <c r="D48" s="1">
        <v>686959228</v>
      </c>
    </row>
    <row r="49" spans="1:4" x14ac:dyDescent="0.6">
      <c r="A49" t="s">
        <v>110</v>
      </c>
      <c r="B49" s="1">
        <v>1103278558769</v>
      </c>
      <c r="C49" s="1">
        <v>1065967644964</v>
      </c>
      <c r="D49" s="1">
        <v>1821030929780</v>
      </c>
    </row>
    <row r="50" spans="1:4" x14ac:dyDescent="0.6">
      <c r="A50" t="s">
        <v>111</v>
      </c>
    </row>
    <row r="51" spans="1:4" x14ac:dyDescent="0.6">
      <c r="A51" t="s">
        <v>112</v>
      </c>
      <c r="B51" s="1">
        <v>1102715004886</v>
      </c>
      <c r="C51" s="1">
        <v>1064450986230</v>
      </c>
      <c r="D51" s="1">
        <v>1819825663011</v>
      </c>
    </row>
    <row r="52" spans="1:4" x14ac:dyDescent="0.6">
      <c r="A52" t="s">
        <v>113</v>
      </c>
      <c r="B52" s="1">
        <v>563553883</v>
      </c>
      <c r="C52" s="1">
        <v>1516658734</v>
      </c>
      <c r="D52" s="1">
        <v>1205266769</v>
      </c>
    </row>
    <row r="53" spans="1:4" x14ac:dyDescent="0.6">
      <c r="A53" t="s">
        <v>114</v>
      </c>
    </row>
    <row r="54" spans="1:4" x14ac:dyDescent="0.6">
      <c r="A54" t="s">
        <v>115</v>
      </c>
      <c r="B54" s="1">
        <v>16091</v>
      </c>
      <c r="C54" s="1">
        <v>16296</v>
      </c>
      <c r="D54" s="1">
        <v>14892</v>
      </c>
    </row>
    <row r="55" spans="1:4" x14ac:dyDescent="0.6">
      <c r="A55" t="s">
        <v>116</v>
      </c>
      <c r="B55" s="1">
        <v>16091</v>
      </c>
      <c r="C55" s="1">
        <v>16296</v>
      </c>
      <c r="D55" s="1">
        <v>14892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2026-06-02T14:12:39Z</dcterms:modified>
</cp:coreProperties>
</file>