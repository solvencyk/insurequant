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gwook.cho\Desktop\insurequant\"/>
    </mc:Choice>
  </mc:AlternateContent>
  <xr:revisionPtr revIDLastSave="0" documentId="13_ncr:1_{E6C4BBEB-2E21-4F09-86BC-A54576CAC90C}" xr6:coauthVersionLast="47" xr6:coauthVersionMax="47" xr10:uidLastSave="{00000000-0000-0000-0000-000000000000}"/>
  <bookViews>
    <workbookView xWindow="-83" yWindow="0" windowWidth="10965" windowHeight="13223" xr2:uid="{3CD259B9-5A78-42E0-B669-107C3DC53255}"/>
  </bookViews>
  <sheets>
    <sheet name="Sheet2" sheetId="2" r:id="rId1"/>
    <sheet name="부문별" sheetId="1" r:id="rId2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7" i="2" l="1"/>
  <c r="H6" i="2"/>
  <c r="H4" i="2"/>
  <c r="H3" i="2"/>
  <c r="H2" i="2"/>
  <c r="H5" i="2" l="1"/>
</calcChain>
</file>

<file path=xl/sharedStrings.xml><?xml version="1.0" encoding="utf-8"?>
<sst xmlns="http://schemas.openxmlformats.org/spreadsheetml/2006/main" count="116" uniqueCount="57">
  <si>
    <t>원보험사코드</t>
  </si>
  <si>
    <t>원수사명</t>
  </si>
  <si>
    <t>티커</t>
  </si>
  <si>
    <t>생손보여부</t>
  </si>
  <si>
    <t>항목번호</t>
  </si>
  <si>
    <t>항목명</t>
  </si>
  <si>
    <t>공시분기</t>
  </si>
  <si>
    <t>기초 CSM</t>
    <phoneticPr fontId="2" type="noConversion"/>
  </si>
  <si>
    <t>신계약 CSM</t>
    <phoneticPr fontId="2" type="noConversion"/>
  </si>
  <si>
    <t>이자 부리</t>
    <phoneticPr fontId="2" type="noConversion"/>
  </si>
  <si>
    <t>CSM 상각</t>
    <phoneticPr fontId="2" type="noConversion"/>
  </si>
  <si>
    <t>기말 CSM</t>
    <phoneticPr fontId="2" type="noConversion"/>
  </si>
  <si>
    <t>보험계약마진</t>
  </si>
  <si>
    <t>가정 및 경험 조정 등</t>
    <phoneticPr fontId="2" type="noConversion"/>
  </si>
  <si>
    <t>생명보험</t>
    <phoneticPr fontId="2" type="noConversion"/>
  </si>
  <si>
    <t>KR0068</t>
    <phoneticPr fontId="2" type="noConversion"/>
  </si>
  <si>
    <t>한화생명</t>
    <phoneticPr fontId="2" type="noConversion"/>
  </si>
  <si>
    <t>금액</t>
    <phoneticPr fontId="2" type="noConversion"/>
  </si>
  <si>
    <t>(5) 당기와 전기 중 보험료배분접근법을 적용하지 않은 보험계약부채(자산)의 측정 요소별 변동내역은 다음과 같습니다 (단위:백만원).</t>
  </si>
  <si>
    <t>1) 당기</t>
  </si>
  <si>
    <t>구  분</t>
  </si>
  <si>
    <t>미래현금흐름의</t>
  </si>
  <si>
    <t>현재가치 추정치</t>
  </si>
  <si>
    <t>1. 기초 보험계약자산 및 부채</t>
  </si>
  <si>
    <t>  (1) 기초 보험계약자산</t>
  </si>
  <si>
    <t>-</t>
  </si>
  <si>
    <t>  (2) 기초 보험계약부채</t>
  </si>
  <si>
    <t>2. 미래서비스 관련 변동</t>
  </si>
  <si>
    <t>  (1) 신계약 효과</t>
  </si>
  <si>
    <t>  (2) 신계약 외 변동효과</t>
  </si>
  <si>
    <t>     1) 가정변경효과</t>
  </si>
  <si>
    <t>       가. 해지율 가정 변경 효과</t>
  </si>
  <si>
    <t>       나. 위험률 가정 변경 효과</t>
  </si>
  <si>
    <t>       다. 사업비율 가정 변경 효과</t>
  </si>
  <si>
    <t>       라. 기타 가정 변경 효과</t>
  </si>
  <si>
    <t>     2) 물량차이 및 투자요소예실차 등</t>
  </si>
  <si>
    <t>     3) 손실요소</t>
  </si>
  <si>
    <t>3. 현행서비스 관련 변동</t>
  </si>
  <si>
    <t>  (1) 제공한 서비스에 대해 인식한 보험계약마진</t>
  </si>
  <si>
    <t>  (2) 비금융위험에 대한 위험조정의 변동분</t>
  </si>
  <si>
    <t>  (3) 경험조정</t>
  </si>
  <si>
    <t>4. 과거 서비스 관련 변동</t>
  </si>
  <si>
    <t>  (1) 발생사고 이행현금흐름 변동분</t>
  </si>
  <si>
    <t>5. 보험서비스결과</t>
  </si>
  <si>
    <t>6. 보험금융손익</t>
  </si>
  <si>
    <t>7. 현금흐름</t>
  </si>
  <si>
    <t>  (1) 수취한 보험료</t>
  </si>
  <si>
    <t>  (2) 보험취득현금흐름</t>
  </si>
  <si>
    <t>  (3) 지급한 보험금과 그 밖의 보험서비스비용</t>
  </si>
  <si>
    <t>  (4) 기타현금흐름</t>
  </si>
  <si>
    <t>8. 기말 보험계약자산 및 부채</t>
  </si>
  <si>
    <t>  (1) 기말 보험계약자산</t>
  </si>
  <si>
    <t>  (2) 기말 보험계약부채</t>
  </si>
  <si>
    <t>비금융위험에</t>
  </si>
  <si>
    <t>대한 위험조정</t>
  </si>
  <si>
    <t>합계</t>
  </si>
  <si>
    <t>2024.4Q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</si>
</sst>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rgb="FF000000"/>
      <name val="굴림"/>
      <family val="3"/>
      <charset val="129"/>
    </font>
    <font>
      <sz val="8"/>
      <name val="맑은 고딕"/>
      <family val="2"/>
      <charset val="129"/>
      <scheme val="minor"/>
    </font>
    <font>
      <sz val="6"/>
      <color rgb="FF000000"/>
      <name val="바탕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1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000000"/>
      </right>
      <top/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/>
      <diagonal/>
    </border>
    <border>
      <left style="thin">
        <color rgb="FF80808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/>
    <xf numFmtId="0" fontId="1" fillId="0" borderId="1" xfId="0" applyFont="1" applyBorder="1" applyAlignment="1">
      <alignment horizontal="right" vertical="center" wrapText="1"/>
    </xf>
    <xf numFmtId="3" fontId="1" fillId="0" borderId="1" xfId="0" applyNumberFormat="1" applyFont="1" applyBorder="1" applyAlignment="1">
      <alignment horizontal="right" vertical="center" wrapText="1"/>
    </xf>
    <xf numFmtId="0" fontId="1" fillId="0" borderId="5" xfId="0" applyFont="1" applyBorder="1" applyAlignment="1">
      <alignment horizontal="right" vertical="center" wrapText="1"/>
    </xf>
    <xf numFmtId="3" fontId="1" fillId="0" borderId="5" xfId="0" applyNumberFormat="1" applyFont="1" applyBorder="1" applyAlignment="1">
      <alignment horizontal="right" vertical="center" wrapText="1"/>
    </xf>
    <xf numFmtId="3" fontId="1" fillId="0" borderId="6" xfId="0" applyNumberFormat="1" applyFont="1" applyBorder="1" applyAlignment="1">
      <alignment horizontal="right" vertical="center" wrapText="1"/>
    </xf>
    <xf numFmtId="3" fontId="1" fillId="0" borderId="7" xfId="0" applyNumberFormat="1" applyFont="1" applyBorder="1" applyAlignment="1">
      <alignment horizontal="righ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BD3D4-06E9-4F60-881F-A872FA311F9A}">
  <dimension ref="A1:L25"/>
  <sheetViews>
    <sheetView tabSelected="1" workbookViewId="0"/>
  </sheetViews>
  <sheetFormatPr defaultRowHeight="16.899999999999999" x14ac:dyDescent="0.6"/>
  <cols>
    <col min="8" max="8" width="15.1875" bestFit="1" customWidth="1"/>
  </cols>
  <sheetData>
    <row r="1" spans="1:12" x14ac:dyDescent="0.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17</v>
      </c>
    </row>
    <row r="2" spans="1:12" x14ac:dyDescent="0.6">
      <c r="A2" s="2" t="s">
        <v>15</v>
      </c>
      <c r="B2" s="2" t="s">
        <v>16</v>
      </c>
      <c r="C2" s="2"/>
      <c r="D2" s="2" t="s">
        <v>14</v>
      </c>
      <c r="E2" s="2">
        <v>1</v>
      </c>
      <c r="F2" s="2" t="s">
        <v>7</v>
      </c>
      <c r="G2" s="2" t="s">
        <v>56</v>
      </c>
      <c r="H2" s="1">
        <f>부문별!D6</f>
        <v>9238488</v>
      </c>
      <c r="L2" s="1"/>
    </row>
    <row r="3" spans="1:12" x14ac:dyDescent="0.6">
      <c r="A3" s="2" t="s">
        <v>15</v>
      </c>
      <c r="B3" s="2" t="s">
        <v>16</v>
      </c>
      <c r="C3" s="2"/>
      <c r="D3" s="2" t="s">
        <v>14</v>
      </c>
      <c r="E3" s="2">
        <v>2</v>
      </c>
      <c r="F3" s="2" t="s">
        <v>8</v>
      </c>
      <c r="G3" s="2" t="s">
        <v>56</v>
      </c>
      <c r="H3" s="1">
        <f>부문별!D10</f>
        <v>2123086</v>
      </c>
    </row>
    <row r="4" spans="1:12" x14ac:dyDescent="0.6">
      <c r="A4" s="2" t="s">
        <v>15</v>
      </c>
      <c r="B4" s="2" t="s">
        <v>16</v>
      </c>
      <c r="C4" s="2"/>
      <c r="D4" s="2" t="s">
        <v>14</v>
      </c>
      <c r="E4">
        <v>3</v>
      </c>
      <c r="F4" s="2" t="s">
        <v>9</v>
      </c>
      <c r="G4" t="s">
        <v>56</v>
      </c>
      <c r="H4" s="1">
        <f>부문별!D26</f>
        <v>350085</v>
      </c>
    </row>
    <row r="5" spans="1:12" x14ac:dyDescent="0.6">
      <c r="A5" s="2" t="s">
        <v>15</v>
      </c>
      <c r="B5" s="2" t="s">
        <v>16</v>
      </c>
      <c r="C5" s="2"/>
      <c r="D5" s="2" t="s">
        <v>14</v>
      </c>
      <c r="E5" s="2">
        <v>4</v>
      </c>
      <c r="F5" s="2" t="s">
        <v>13</v>
      </c>
      <c r="G5" t="s">
        <v>56</v>
      </c>
      <c r="H5" s="1">
        <f>H7-H6-H4-H3-H2</f>
        <v>-1750600</v>
      </c>
    </row>
    <row r="6" spans="1:12" x14ac:dyDescent="0.6">
      <c r="A6" s="2" t="s">
        <v>15</v>
      </c>
      <c r="B6" s="2" t="s">
        <v>16</v>
      </c>
      <c r="C6" s="2"/>
      <c r="D6" s="2" t="s">
        <v>14</v>
      </c>
      <c r="E6" s="2">
        <v>5</v>
      </c>
      <c r="F6" s="2" t="s">
        <v>10</v>
      </c>
      <c r="G6" t="s">
        <v>56</v>
      </c>
      <c r="H6" s="1">
        <f>부문별!D20</f>
        <v>-851918</v>
      </c>
    </row>
    <row r="7" spans="1:12" x14ac:dyDescent="0.6">
      <c r="A7" s="2" t="s">
        <v>15</v>
      </c>
      <c r="B7" s="2" t="s">
        <v>16</v>
      </c>
      <c r="C7" s="2"/>
      <c r="D7" s="2" t="s">
        <v>14</v>
      </c>
      <c r="E7" s="2">
        <v>6</v>
      </c>
      <c r="F7" s="2" t="s">
        <v>11</v>
      </c>
      <c r="G7" t="s">
        <v>56</v>
      </c>
      <c r="H7" s="1">
        <f>부문별!D32</f>
        <v>9109141</v>
      </c>
    </row>
    <row r="8" spans="1:12" x14ac:dyDescent="0.6">
      <c r="A8" s="2"/>
      <c r="B8" s="2"/>
      <c r="C8" s="2"/>
      <c r="D8" s="2"/>
      <c r="H8" s="1"/>
    </row>
    <row r="9" spans="1:12" x14ac:dyDescent="0.6">
      <c r="A9" s="2"/>
      <c r="B9" s="2"/>
      <c r="C9" s="2"/>
      <c r="D9" s="2"/>
    </row>
    <row r="10" spans="1:12" x14ac:dyDescent="0.6">
      <c r="A10" s="2"/>
      <c r="B10" s="2"/>
      <c r="C10" s="2"/>
      <c r="D10" s="2"/>
      <c r="H10" s="1"/>
    </row>
    <row r="11" spans="1:12" x14ac:dyDescent="0.6">
      <c r="A11" s="2"/>
      <c r="B11" s="2"/>
      <c r="C11" s="2"/>
      <c r="D11" s="2"/>
      <c r="H11" s="1"/>
    </row>
    <row r="12" spans="1:12" x14ac:dyDescent="0.6">
      <c r="A12" s="2"/>
      <c r="B12" s="2"/>
      <c r="C12" s="2"/>
      <c r="D12" s="2"/>
    </row>
    <row r="13" spans="1:12" x14ac:dyDescent="0.6">
      <c r="A13" s="2"/>
      <c r="B13" s="2"/>
      <c r="C13" s="2"/>
      <c r="D13" s="2"/>
      <c r="H13" s="1"/>
    </row>
    <row r="14" spans="1:12" x14ac:dyDescent="0.6">
      <c r="A14" s="2"/>
      <c r="B14" s="2"/>
      <c r="C14" s="2"/>
      <c r="D14" s="2"/>
      <c r="H14" s="1"/>
    </row>
    <row r="15" spans="1:12" x14ac:dyDescent="0.6">
      <c r="A15" s="2"/>
      <c r="B15" s="2"/>
      <c r="C15" s="2"/>
      <c r="D15" s="2"/>
      <c r="H15" s="1"/>
    </row>
    <row r="16" spans="1:12" x14ac:dyDescent="0.6">
      <c r="A16" s="2"/>
      <c r="B16" s="2"/>
      <c r="C16" s="2"/>
      <c r="D16" s="2"/>
    </row>
    <row r="17" spans="1:8" x14ac:dyDescent="0.6">
      <c r="A17" s="2"/>
      <c r="B17" s="2"/>
      <c r="C17" s="2"/>
      <c r="D17" s="2"/>
      <c r="H17" s="1"/>
    </row>
    <row r="18" spans="1:8" x14ac:dyDescent="0.6">
      <c r="A18" s="2"/>
      <c r="B18" s="2"/>
      <c r="C18" s="2"/>
      <c r="D18" s="2"/>
      <c r="H18" s="1"/>
    </row>
    <row r="25" spans="1:8" x14ac:dyDescent="0.6">
      <c r="H25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6A147-F3E2-47B5-86FD-2BD8F9A1B18F}">
  <dimension ref="A1:E34"/>
  <sheetViews>
    <sheetView topLeftCell="A3" zoomScale="85" zoomScaleNormal="85" workbookViewId="0">
      <selection activeCell="C11" sqref="C11"/>
    </sheetView>
  </sheetViews>
  <sheetFormatPr defaultRowHeight="16.899999999999999" x14ac:dyDescent="0.6"/>
  <cols>
    <col min="2" max="2" width="12.125" bestFit="1" customWidth="1"/>
    <col min="3" max="3" width="9.8125" bestFit="1" customWidth="1"/>
    <col min="4" max="4" width="11" bestFit="1" customWidth="1"/>
    <col min="5" max="5" width="12.125" bestFit="1" customWidth="1"/>
  </cols>
  <sheetData>
    <row r="1" spans="1:5" ht="67.5" customHeight="1" x14ac:dyDescent="0.6">
      <c r="A1" s="11" t="s">
        <v>18</v>
      </c>
    </row>
    <row r="2" spans="1:5" ht="54" customHeight="1" x14ac:dyDescent="0.6">
      <c r="A2" s="10"/>
    </row>
    <row r="3" spans="1:5" x14ac:dyDescent="0.6">
      <c r="A3" s="11" t="s">
        <v>19</v>
      </c>
    </row>
    <row r="4" spans="1:5" ht="67.5" customHeight="1" x14ac:dyDescent="0.6">
      <c r="A4" s="15" t="s">
        <v>20</v>
      </c>
      <c r="B4" s="17" t="s">
        <v>21</v>
      </c>
      <c r="C4" s="17" t="s">
        <v>53</v>
      </c>
      <c r="D4" s="18" t="s">
        <v>12</v>
      </c>
      <c r="E4" s="20" t="s">
        <v>55</v>
      </c>
    </row>
    <row r="5" spans="1:5" ht="27" x14ac:dyDescent="0.6">
      <c r="A5" s="16"/>
      <c r="B5" s="12" t="s">
        <v>22</v>
      </c>
      <c r="C5" s="12" t="s">
        <v>54</v>
      </c>
      <c r="D5" s="19"/>
      <c r="E5" s="9"/>
    </row>
    <row r="6" spans="1:5" ht="27" customHeight="1" x14ac:dyDescent="0.6">
      <c r="A6" s="13" t="s">
        <v>23</v>
      </c>
      <c r="B6" s="4">
        <v>78252132</v>
      </c>
      <c r="C6" s="4">
        <v>1643736</v>
      </c>
      <c r="D6" s="4">
        <v>9238488</v>
      </c>
      <c r="E6" s="6">
        <v>89134356</v>
      </c>
    </row>
    <row r="7" spans="1:5" ht="16.899999999999999" customHeight="1" x14ac:dyDescent="0.6">
      <c r="A7" s="13" t="s">
        <v>24</v>
      </c>
      <c r="B7" s="3" t="s">
        <v>25</v>
      </c>
      <c r="C7" s="3" t="s">
        <v>25</v>
      </c>
      <c r="D7" s="3" t="s">
        <v>25</v>
      </c>
      <c r="E7" s="5" t="s">
        <v>25</v>
      </c>
    </row>
    <row r="8" spans="1:5" ht="40.5" x14ac:dyDescent="0.6">
      <c r="A8" s="13" t="s">
        <v>26</v>
      </c>
      <c r="B8" s="4">
        <v>78252132</v>
      </c>
      <c r="C8" s="4">
        <v>1643736</v>
      </c>
      <c r="D8" s="4">
        <v>9238488</v>
      </c>
      <c r="E8" s="6">
        <v>89134356</v>
      </c>
    </row>
    <row r="9" spans="1:5" ht="20.25" customHeight="1" x14ac:dyDescent="0.6">
      <c r="A9" s="13" t="s">
        <v>27</v>
      </c>
      <c r="B9" s="4">
        <v>-657373</v>
      </c>
      <c r="C9" s="4">
        <v>384904</v>
      </c>
      <c r="D9" s="4">
        <v>372486</v>
      </c>
      <c r="E9" s="6">
        <v>100017</v>
      </c>
    </row>
    <row r="10" spans="1:5" ht="27" customHeight="1" x14ac:dyDescent="0.6">
      <c r="A10" s="13" t="s">
        <v>28</v>
      </c>
      <c r="B10" s="4">
        <v>-2278180</v>
      </c>
      <c r="C10" s="4">
        <v>247500</v>
      </c>
      <c r="D10" s="4">
        <v>2123086</v>
      </c>
      <c r="E10" s="6">
        <v>92406</v>
      </c>
    </row>
    <row r="11" spans="1:5" ht="27" customHeight="1" x14ac:dyDescent="0.6">
      <c r="A11" s="13" t="s">
        <v>29</v>
      </c>
      <c r="B11" s="4">
        <v>1620807</v>
      </c>
      <c r="C11" s="4">
        <v>137404</v>
      </c>
      <c r="D11" s="4">
        <v>-1750600</v>
      </c>
      <c r="E11" s="6">
        <v>7611</v>
      </c>
    </row>
    <row r="12" spans="1:5" ht="27" customHeight="1" x14ac:dyDescent="0.6">
      <c r="A12" s="13" t="s">
        <v>30</v>
      </c>
      <c r="B12" s="4">
        <v>-110453</v>
      </c>
      <c r="C12" s="3" t="s">
        <v>25</v>
      </c>
      <c r="D12" s="4">
        <v>110453</v>
      </c>
      <c r="E12" s="5" t="s">
        <v>25</v>
      </c>
    </row>
    <row r="13" spans="1:5" ht="27" customHeight="1" x14ac:dyDescent="0.6">
      <c r="A13" s="13" t="s">
        <v>31</v>
      </c>
      <c r="B13" s="4">
        <v>747574</v>
      </c>
      <c r="C13" s="3" t="s">
        <v>25</v>
      </c>
      <c r="D13" s="4">
        <v>-747574</v>
      </c>
      <c r="E13" s="5" t="s">
        <v>25</v>
      </c>
    </row>
    <row r="14" spans="1:5" ht="27" customHeight="1" x14ac:dyDescent="0.6">
      <c r="A14" s="13" t="s">
        <v>32</v>
      </c>
      <c r="B14" s="4">
        <v>-519818</v>
      </c>
      <c r="C14" s="3" t="s">
        <v>25</v>
      </c>
      <c r="D14" s="4">
        <v>519818</v>
      </c>
      <c r="E14" s="5" t="s">
        <v>25</v>
      </c>
    </row>
    <row r="15" spans="1:5" ht="54" customHeight="1" x14ac:dyDescent="0.6">
      <c r="A15" s="13" t="s">
        <v>33</v>
      </c>
      <c r="B15" s="4">
        <v>95637</v>
      </c>
      <c r="C15" s="3" t="s">
        <v>25</v>
      </c>
      <c r="D15" s="4">
        <v>-95637</v>
      </c>
      <c r="E15" s="5" t="s">
        <v>25</v>
      </c>
    </row>
    <row r="16" spans="1:5" ht="54" customHeight="1" x14ac:dyDescent="0.6">
      <c r="A16" s="13" t="s">
        <v>34</v>
      </c>
      <c r="B16" s="4">
        <v>-433845</v>
      </c>
      <c r="C16" s="3" t="s">
        <v>25</v>
      </c>
      <c r="D16" s="4">
        <v>433845</v>
      </c>
      <c r="E16" s="5" t="s">
        <v>25</v>
      </c>
    </row>
    <row r="17" spans="1:5" ht="27" customHeight="1" x14ac:dyDescent="0.6">
      <c r="A17" s="13" t="s">
        <v>35</v>
      </c>
      <c r="B17" s="4">
        <v>1731259</v>
      </c>
      <c r="C17" s="4">
        <v>137404</v>
      </c>
      <c r="D17" s="4">
        <v>-1868663</v>
      </c>
      <c r="E17" s="5" t="s">
        <v>25</v>
      </c>
    </row>
    <row r="18" spans="1:5" ht="54" customHeight="1" x14ac:dyDescent="0.6">
      <c r="A18" s="13" t="s">
        <v>36</v>
      </c>
      <c r="B18" s="3" t="s">
        <v>25</v>
      </c>
      <c r="C18" s="3" t="s">
        <v>25</v>
      </c>
      <c r="D18" s="4">
        <v>7611</v>
      </c>
      <c r="E18" s="6">
        <v>7611</v>
      </c>
    </row>
    <row r="19" spans="1:5" ht="54" customHeight="1" x14ac:dyDescent="0.6">
      <c r="A19" s="13" t="s">
        <v>37</v>
      </c>
      <c r="B19" s="4">
        <v>82924</v>
      </c>
      <c r="C19" s="4">
        <v>-125776</v>
      </c>
      <c r="D19" s="4">
        <v>-851918</v>
      </c>
      <c r="E19" s="6">
        <v>-894770</v>
      </c>
    </row>
    <row r="20" spans="1:5" ht="54" customHeight="1" x14ac:dyDescent="0.6">
      <c r="A20" s="13" t="s">
        <v>38</v>
      </c>
      <c r="B20" s="3" t="s">
        <v>25</v>
      </c>
      <c r="C20" s="3" t="s">
        <v>25</v>
      </c>
      <c r="D20" s="4">
        <v>-851918</v>
      </c>
      <c r="E20" s="6">
        <v>-851918</v>
      </c>
    </row>
    <row r="21" spans="1:5" ht="54" customHeight="1" x14ac:dyDescent="0.6">
      <c r="A21" s="13" t="s">
        <v>39</v>
      </c>
      <c r="B21" s="3" t="s">
        <v>25</v>
      </c>
      <c r="C21" s="4">
        <v>-125776</v>
      </c>
      <c r="D21" s="3" t="s">
        <v>25</v>
      </c>
      <c r="E21" s="6">
        <v>-125776</v>
      </c>
    </row>
    <row r="22" spans="1:5" ht="54" customHeight="1" x14ac:dyDescent="0.6">
      <c r="A22" s="13" t="s">
        <v>40</v>
      </c>
      <c r="B22" s="4">
        <v>82924</v>
      </c>
      <c r="C22" s="3" t="s">
        <v>25</v>
      </c>
      <c r="D22" s="3" t="s">
        <v>25</v>
      </c>
      <c r="E22" s="6">
        <v>82924</v>
      </c>
    </row>
    <row r="23" spans="1:5" ht="40.5" x14ac:dyDescent="0.6">
      <c r="A23" s="13" t="s">
        <v>41</v>
      </c>
      <c r="B23" s="4">
        <v>132507</v>
      </c>
      <c r="C23" s="4">
        <v>-4069</v>
      </c>
      <c r="D23" s="3" t="s">
        <v>25</v>
      </c>
      <c r="E23" s="6">
        <v>128438</v>
      </c>
    </row>
    <row r="24" spans="1:5" ht="27" customHeight="1" x14ac:dyDescent="0.6">
      <c r="A24" s="13" t="s">
        <v>42</v>
      </c>
      <c r="B24" s="4">
        <v>132507</v>
      </c>
      <c r="C24" s="4">
        <v>-4069</v>
      </c>
      <c r="D24" s="3" t="s">
        <v>25</v>
      </c>
      <c r="E24" s="6">
        <v>128438</v>
      </c>
    </row>
    <row r="25" spans="1:5" ht="27" x14ac:dyDescent="0.6">
      <c r="A25" s="13" t="s">
        <v>43</v>
      </c>
      <c r="B25" s="4">
        <v>-441942</v>
      </c>
      <c r="C25" s="4">
        <v>255059</v>
      </c>
      <c r="D25" s="4">
        <v>-479432</v>
      </c>
      <c r="E25" s="6">
        <v>-666315</v>
      </c>
    </row>
    <row r="26" spans="1:5" ht="54" customHeight="1" x14ac:dyDescent="0.6">
      <c r="A26" s="13" t="s">
        <v>44</v>
      </c>
      <c r="B26" s="4">
        <v>7451742</v>
      </c>
      <c r="C26" s="3" t="s">
        <v>25</v>
      </c>
      <c r="D26" s="4">
        <v>350085</v>
      </c>
      <c r="E26" s="6">
        <v>7801827</v>
      </c>
    </row>
    <row r="27" spans="1:5" ht="54" customHeight="1" x14ac:dyDescent="0.6">
      <c r="A27" s="13" t="s">
        <v>45</v>
      </c>
      <c r="B27" s="4">
        <v>878284</v>
      </c>
      <c r="C27" s="3" t="s">
        <v>25</v>
      </c>
      <c r="D27" s="3" t="s">
        <v>25</v>
      </c>
      <c r="E27" s="6">
        <v>878284</v>
      </c>
    </row>
    <row r="28" spans="1:5" ht="54" customHeight="1" x14ac:dyDescent="0.6">
      <c r="A28" s="13" t="s">
        <v>46</v>
      </c>
      <c r="B28" s="4">
        <v>16110559</v>
      </c>
      <c r="C28" s="3" t="s">
        <v>25</v>
      </c>
      <c r="D28" s="3" t="s">
        <v>25</v>
      </c>
      <c r="E28" s="6">
        <v>16110559</v>
      </c>
    </row>
    <row r="29" spans="1:5" ht="16.899999999999999" customHeight="1" x14ac:dyDescent="0.6">
      <c r="A29" s="13" t="s">
        <v>47</v>
      </c>
      <c r="B29" s="4">
        <v>-3366751</v>
      </c>
      <c r="C29" s="3" t="s">
        <v>25</v>
      </c>
      <c r="D29" s="3" t="s">
        <v>25</v>
      </c>
      <c r="E29" s="6">
        <v>-3366751</v>
      </c>
    </row>
    <row r="30" spans="1:5" ht="162" customHeight="1" x14ac:dyDescent="0.6">
      <c r="A30" s="13" t="s">
        <v>48</v>
      </c>
      <c r="B30" s="4">
        <v>-12107210</v>
      </c>
      <c r="C30" s="3" t="s">
        <v>25</v>
      </c>
      <c r="D30" s="3" t="s">
        <v>25</v>
      </c>
      <c r="E30" s="6">
        <v>-12107210</v>
      </c>
    </row>
    <row r="31" spans="1:5" ht="40.5" customHeight="1" x14ac:dyDescent="0.6">
      <c r="A31" s="13" t="s">
        <v>49</v>
      </c>
      <c r="B31" s="4">
        <v>241686</v>
      </c>
      <c r="C31" s="3" t="s">
        <v>25</v>
      </c>
      <c r="D31" s="3" t="s">
        <v>25</v>
      </c>
      <c r="E31" s="6">
        <v>241686</v>
      </c>
    </row>
    <row r="32" spans="1:5" ht="27" customHeight="1" x14ac:dyDescent="0.6">
      <c r="A32" s="13" t="s">
        <v>50</v>
      </c>
      <c r="B32" s="4">
        <v>86140216</v>
      </c>
      <c r="C32" s="4">
        <v>1898795</v>
      </c>
      <c r="D32" s="4">
        <v>9109141</v>
      </c>
      <c r="E32" s="6">
        <v>97148152</v>
      </c>
    </row>
    <row r="33" spans="1:5" ht="27" customHeight="1" x14ac:dyDescent="0.6">
      <c r="A33" s="13" t="s">
        <v>51</v>
      </c>
      <c r="B33" s="3" t="s">
        <v>25</v>
      </c>
      <c r="C33" s="3" t="s">
        <v>25</v>
      </c>
      <c r="D33" s="3" t="s">
        <v>25</v>
      </c>
      <c r="E33" s="5" t="s">
        <v>25</v>
      </c>
    </row>
    <row r="34" spans="1:5" ht="27" customHeight="1" x14ac:dyDescent="0.6">
      <c r="A34" s="14" t="s">
        <v>52</v>
      </c>
      <c r="B34" s="7">
        <v>86140216</v>
      </c>
      <c r="C34" s="7">
        <v>1898795</v>
      </c>
      <c r="D34" s="7">
        <v>9109141</v>
      </c>
      <c r="E34" s="8">
        <v>97148152</v>
      </c>
    </row>
  </sheetData>
  <mergeCells count="3">
    <mergeCell ref="E4:E5"/>
    <mergeCell ref="A4:A5"/>
    <mergeCell ref="D4:D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Sheet2</vt:lpstr>
      <vt:lpstr>부문별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조상욱(Sang Wook Cho)</dc:creator>
  <cp:lastModifiedBy>조상욱(Sang Wook Cho)</cp:lastModifiedBy>
  <dcterms:created xsi:type="dcterms:W3CDTF">2026-06-01T13:19:41Z</dcterms:created>
  <dcterms:modified xsi:type="dcterms:W3CDTF">2026-06-02T15:12:48Z</dcterms:modified>
</cp:coreProperties>
</file>