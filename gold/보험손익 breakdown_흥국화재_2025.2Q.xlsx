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9F0F56F6-3EAF-4EAF-A3AE-45CA28C712C6}" xr6:coauthVersionLast="47" xr6:coauthVersionMax="47" xr10:uidLastSave="{00000000-0000-0000-0000-000000000000}"/>
  <bookViews>
    <workbookView xWindow="10718" yWindow="0" windowWidth="10965" windowHeight="12863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4" l="1"/>
  <c r="H7" i="4"/>
  <c r="V26" i="1"/>
  <c r="W26" i="1"/>
  <c r="H15" i="4"/>
  <c r="H14" i="4"/>
  <c r="H11" i="4"/>
  <c r="H10" i="4"/>
  <c r="H9" i="4"/>
  <c r="H6" i="4"/>
  <c r="H5" i="4"/>
  <c r="H4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I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<sst xmlns="http://schemas.openxmlformats.org/spreadsheetml/2006/main" count="326" uniqueCount="104">
  <si>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</si>
  <si>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</si>
  <si>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</si>
  <si>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</si>
  <si>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</si>
  <si>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</si>
  <si>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</si>
  <si>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</si>
  <si>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</si>
  <si>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</si>
  <si>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</si>
  <si>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</si>
  <si>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</si>
  <si>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</si>
  <si>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</si>
  <si>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</si>
  <si>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</si>
  <si>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</si>
  <si>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</si>
  <si>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</si>
  <si>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</si>
  <si>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</si>
  <si>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</si>
  <si>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</si>
  <si>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</si>
  <si>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</si>
  <si>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</si>
  <si>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</si>
  <si>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</si>
  <si>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</si>
  <si>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</si>
  <si>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</si>
  <si>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</si>
  <si>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</si>
  <si>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</si>
  <si>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흥국화재</t>
    <phoneticPr fontId="2" type="noConversion"/>
  </si>
  <si>
    <t>KR0005</t>
    <phoneticPr fontId="2" type="noConversion"/>
  </si>
  <si>
    <t>2025.2Q</t>
    <phoneticPr fontId="2" type="noConversion"/>
  </si>
  <si>
    <t>28. 보험수익/ 29. 보험서비스비용</t>
  </si>
  <si>
    <t>발행보험의 보험수익 분석 공시</t>
  </si>
  <si>
    <t>당반기</t>
  </si>
  <si>
    <t>(단위 : 백만원)</t>
  </si>
  <si>
    <t>보험계약의 세분</t>
  </si>
  <si>
    <t>발행한 보험계약</t>
  </si>
  <si>
    <t>보험계약</t>
  </si>
  <si>
    <t>보험료배분접근법을 적용한 보험계약 외의 보험계약</t>
  </si>
  <si>
    <t>보험료배분접근법을 적용한 보험계약</t>
  </si>
  <si>
    <t>계약의 유형</t>
  </si>
  <si>
    <t>계약의 유형  합계</t>
  </si>
  <si>
    <t>장기보험</t>
  </si>
  <si>
    <t>일반보험</t>
  </si>
  <si>
    <t>자동차보험</t>
  </si>
  <si>
    <t>3개월</t>
  </si>
  <si>
    <t>누적</t>
  </si>
  <si>
    <t>보험수익 </t>
  </si>
  <si>
    <t>보험수익, 잔여보장부채의 변동과 관련되는 금액 </t>
  </si>
  <si>
    <t>총 보험수익, 잔여보장부채의 변동분과 관련되는 금액</t>
  </si>
  <si>
    <t>보험수익, 보고기간에 발생한 보험서비스비용 (기초 예상 측정치)</t>
  </si>
  <si>
    <t>보험수익, 예상 보험금 (기초 예상 측정치)</t>
  </si>
  <si>
    <t>보험수익, 예상 기타 보험서비스비용 (기초 예상 측정치)</t>
  </si>
  <si>
    <t>보험수익, 예상 유지비 (기초 예상 측정치)</t>
  </si>
  <si>
    <t>보험수익, 예상 투자관리비 (기초 예상 측정치)</t>
  </si>
  <si>
    <t>보험수익, 예상 손해조사비 (기초 예상 측정치)</t>
  </si>
  <si>
    <t>보험수익, 비금융위험에 대한 위험조정의 변동분</t>
  </si>
  <si>
    <t>보험수익, 서비스의 이전으로 당기손익에 인식한 보험계약마진</t>
  </si>
  <si>
    <t>보험수익, 보험취득 현금흐름의 회수와 관련되는 보험료 부분의 배분액</t>
  </si>
  <si>
    <t>보험수익</t>
  </si>
  <si>
    <t>발행보험의 보험서비스비용 분석 공시</t>
  </si>
  <si>
    <t>발행한 보험계약에서 생기는 보험서비스비용 </t>
  </si>
  <si>
    <t>보험서비스비용, 발생한 보험금 및 그 밖의 발생한 보험서비스비용</t>
  </si>
  <si>
    <t>보험서비스비용, 발생한 보험금</t>
  </si>
  <si>
    <t>보험서비스비용, 그 밖의 발생한 보험서비스비용</t>
  </si>
  <si>
    <t>보험서비스비용, 발생한 손해조사비</t>
  </si>
  <si>
    <t>보험서비스비용, 발생한 투자관리비</t>
  </si>
  <si>
    <t>보험서비스비용, 발생한 유지비</t>
  </si>
  <si>
    <t>보험서비스비용, 과거 서비스와 관련된 금액</t>
  </si>
  <si>
    <t>보험서비스비용, 미래 서비스와 관련된 변동분에 관련된 금액</t>
  </si>
  <si>
    <t>보험서비스비용, 보험취득 현금흐름의 상각에 따른 금액</t>
  </si>
  <si>
    <t>보험서비스비용</t>
  </si>
  <si>
    <t>30. 재보험수익/ 31. 재보험비용</t>
  </si>
  <si>
    <t>재보험비용의 보험서비스비용 분석 공시</t>
  </si>
  <si>
    <t>보유 재보험계약</t>
  </si>
  <si>
    <t>재보험자에게서 회수한 금액에서 생기는 수익 </t>
  </si>
  <si>
    <t>재보험수익, 과거 서비스와 관련된 금액</t>
  </si>
  <si>
    <t>재보험수익, 발생한 보험금 및 그 밖의 발생한 보험서비스비용</t>
  </si>
  <si>
    <t>재보험수익, 발생한 보험금</t>
  </si>
  <si>
    <t>재보험수익, 그 밖의 발생한 재보험수익</t>
  </si>
  <si>
    <t>재보험수익, 발생한 투자관리비</t>
  </si>
  <si>
    <t>재보험수익, 발생한 손해조사비</t>
  </si>
  <si>
    <t>재보험수익, 발생한 유지비</t>
  </si>
  <si>
    <t>재보험수익, 미래 서비스와 관련된 변동분에 관련된 금액</t>
  </si>
  <si>
    <t>기타 재보험수익</t>
  </si>
  <si>
    <t>재보험수익</t>
  </si>
  <si>
    <t>재보험비용 분석 공시</t>
  </si>
  <si>
    <t>재보험자에게 지급된 보험료 배분액에서 생기는 비용 </t>
  </si>
  <si>
    <t>재보험비용, 잔여보장부채의 변동과 관련되는 금액 </t>
  </si>
  <si>
    <t>총 재보험비용, 잔여보장부채의 변동분과 관련되는 금액</t>
  </si>
  <si>
    <t>재보험비용, 보고기간에 발생한 보험서비스비용 (기초 예상 측정치)</t>
  </si>
  <si>
    <t>재보험비용, 예상 보험금 (기초 예상 측정치)</t>
  </si>
  <si>
    <t>재보험비용, 예상 기타 보험서비스비용 (기초 예상 측정치)</t>
  </si>
  <si>
    <t>재보험비용, 비금융위험에 대한 위험조정의 변동분</t>
  </si>
  <si>
    <t>재보험비용, 서비스의 이전으로 당기손익에 인식한 보험계약마진</t>
  </si>
  <si>
    <t>재보험비용, 그 밖의 금액</t>
  </si>
  <si>
    <t>재보험비용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</si>
</sst>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/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tabSelected="1" topLeftCell="C1" workbookViewId="0">
      <selection activeCell="H12" sqref="H12"/>
    </sheetView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2" x14ac:dyDescent="0.6">
      <c r="A1" s="8" t="s">
        <v>21</v>
      </c>
      <c r="B1" s="8" t="s">
        <v>20</v>
      </c>
      <c r="C1" s="8" t="s">
        <v>19</v>
      </c>
      <c r="D1" s="8" t="s">
        <v>18</v>
      </c>
      <c r="E1" s="8" t="s">
        <v>17</v>
      </c>
      <c r="F1" s="8" t="s">
        <v>16</v>
      </c>
      <c r="G1" s="8" t="s">
        <v>0</v>
      </c>
      <c r="H1" s="8" t="s">
        <v>15</v>
      </c>
      <c r="I1" s="8" t="s">
        <v>22</v>
      </c>
    </row>
    <row r="2" spans="1:12" x14ac:dyDescent="0.6">
      <c r="A2" s="8" t="s">
        <v>36</v>
      </c>
      <c r="B2" s="8" t="s">
        <v>35</v>
      </c>
      <c r="C2" s="8"/>
      <c r="D2" s="8" t="s">
        <v>3</v>
      </c>
      <c r="E2" s="8">
        <v>1</v>
      </c>
      <c r="F2" t="s">
        <v>14</v>
      </c>
      <c r="G2" s="8" t="s">
        <v>37</v>
      </c>
      <c r="H2" s="1">
        <f>H3+H14+H15+H16-H17</f>
        <v>100361</v>
      </c>
      <c r="I2" s="1" t="b">
        <f>ABS(ROUND(H2,0)-100361)&lt;2</f>
        <v>1</v>
      </c>
      <c r="L2" s="1"/>
    </row>
    <row r="3" spans="1:12" x14ac:dyDescent="0.6">
      <c r="A3" s="8" t="s">
        <v>36</v>
      </c>
      <c r="B3" s="8" t="s">
        <v>35</v>
      </c>
      <c r="C3" s="8"/>
      <c r="D3" s="8" t="s">
        <v>3</v>
      </c>
      <c r="E3">
        <f t="shared" ref="E3" si="0">E2+1</f>
        <v>2</v>
      </c>
      <c r="F3" t="s">
        <v>23</v>
      </c>
      <c r="G3" t="s">
        <v>37</v>
      </c>
      <c r="H3" s="1">
        <f>H4+H9</f>
        <v>119396</v>
      </c>
    </row>
    <row r="4" spans="1:12" x14ac:dyDescent="0.6">
      <c r="A4" s="8" t="s">
        <v>36</v>
      </c>
      <c r="B4" s="8" t="s">
        <v>35</v>
      </c>
      <c r="C4" s="8"/>
      <c r="D4" s="8" t="s">
        <v>3</v>
      </c>
      <c r="E4">
        <f t="shared" ref="E4:E7" si="1">E3+1</f>
        <v>3</v>
      </c>
      <c r="F4" t="s">
        <v>24</v>
      </c>
      <c r="G4" t="s">
        <v>37</v>
      </c>
      <c r="H4" s="1">
        <f>보험손익!G26+보험손익!O26-보험손익!F47-보험손익!N47</f>
        <v>110662</v>
      </c>
      <c r="I4" s="1"/>
    </row>
    <row r="5" spans="1:12" x14ac:dyDescent="0.6">
      <c r="A5" s="8" t="s">
        <v>36</v>
      </c>
      <c r="B5" s="8" t="s">
        <v>35</v>
      </c>
      <c r="C5" s="8"/>
      <c r="D5" s="8" t="s">
        <v>3</v>
      </c>
      <c r="E5">
        <f t="shared" si="1"/>
        <v>4</v>
      </c>
      <c r="F5" t="s">
        <v>27</v>
      </c>
      <c r="G5" t="s">
        <v>37</v>
      </c>
      <c r="H5" s="1">
        <f>보험손익!G24+보험손익!O24</f>
        <v>115093</v>
      </c>
      <c r="K5" s="1"/>
    </row>
    <row r="6" spans="1:12" x14ac:dyDescent="0.6">
      <c r="A6" s="8" t="s">
        <v>36</v>
      </c>
      <c r="B6" s="8" t="s">
        <v>35</v>
      </c>
      <c r="C6" s="8"/>
      <c r="D6" s="8" t="s">
        <v>3</v>
      </c>
      <c r="E6">
        <f t="shared" si="1"/>
        <v>5</v>
      </c>
      <c r="F6" t="s">
        <v>28</v>
      </c>
      <c r="G6" t="s">
        <v>37</v>
      </c>
      <c r="H6" s="1">
        <f>보험손익!G23+보험손익!O23</f>
        <v>19825</v>
      </c>
      <c r="K6" s="1"/>
    </row>
    <row r="7" spans="1:12" x14ac:dyDescent="0.6">
      <c r="A7" s="8" t="s">
        <v>36</v>
      </c>
      <c r="B7" s="8" t="s">
        <v>35</v>
      </c>
      <c r="C7" s="8"/>
      <c r="D7" s="8" t="s">
        <v>3</v>
      </c>
      <c r="E7">
        <f t="shared" si="1"/>
        <v>6</v>
      </c>
      <c r="F7" t="s">
        <v>29</v>
      </c>
      <c r="G7" t="s">
        <v>37</v>
      </c>
      <c r="H7" s="1">
        <f>SUM(보험손익!G18:G19,보험손익!O18:O19)-SUM(보험손익!F39:F40,보험손익!N39:N40)</f>
        <v>-20243</v>
      </c>
      <c r="K7" s="1"/>
    </row>
    <row r="8" spans="1:12" x14ac:dyDescent="0.6">
      <c r="A8" s="8" t="s">
        <v>36</v>
      </c>
      <c r="B8" s="8" t="s">
        <v>35</v>
      </c>
      <c r="C8" s="8"/>
      <c r="D8" s="8" t="s">
        <v>26</v>
      </c>
      <c r="E8">
        <f t="shared" ref="E8:E25" si="2">E7+1</f>
        <v>7</v>
      </c>
      <c r="F8" t="s">
        <v>30</v>
      </c>
      <c r="G8" t="s">
        <v>37</v>
      </c>
      <c r="H8" s="1">
        <f>H4-SUM(H5:H7)</f>
        <v>-4013</v>
      </c>
      <c r="K8" s="1"/>
    </row>
    <row r="9" spans="1:12" x14ac:dyDescent="0.6">
      <c r="A9" s="8" t="s">
        <v>36</v>
      </c>
      <c r="B9" s="8" t="s">
        <v>35</v>
      </c>
      <c r="C9" s="8"/>
      <c r="D9" s="8" t="s">
        <v>26</v>
      </c>
      <c r="E9">
        <f t="shared" si="2"/>
        <v>8</v>
      </c>
      <c r="F9" t="s">
        <v>25</v>
      </c>
      <c r="G9" t="s">
        <v>37</v>
      </c>
      <c r="H9" s="1">
        <f>보험손익!F72+보험손익!N72-보험손익!F92-보험손익!N92</f>
        <v>8734</v>
      </c>
      <c r="K9" s="1"/>
    </row>
    <row r="10" spans="1:12" x14ac:dyDescent="0.6">
      <c r="A10" s="8" t="s">
        <v>36</v>
      </c>
      <c r="B10" s="8" t="s">
        <v>35</v>
      </c>
      <c r="C10" s="8"/>
      <c r="D10" s="8" t="s">
        <v>26</v>
      </c>
      <c r="E10">
        <f t="shared" si="2"/>
        <v>9</v>
      </c>
      <c r="F10" t="s">
        <v>31</v>
      </c>
      <c r="G10" t="s">
        <v>37</v>
      </c>
      <c r="H10" s="1">
        <f>-보험손익!F90</f>
        <v>11592</v>
      </c>
      <c r="K10" s="1"/>
    </row>
    <row r="11" spans="1:12" x14ac:dyDescent="0.6">
      <c r="A11" s="8" t="s">
        <v>36</v>
      </c>
      <c r="B11" s="8" t="s">
        <v>35</v>
      </c>
      <c r="C11" s="8"/>
      <c r="D11" s="8" t="s">
        <v>26</v>
      </c>
      <c r="E11">
        <f t="shared" si="2"/>
        <v>10</v>
      </c>
      <c r="F11" t="s">
        <v>32</v>
      </c>
      <c r="G11" t="s">
        <v>37</v>
      </c>
      <c r="H11" s="1">
        <f>-보험손익!F89</f>
        <v>-1001</v>
      </c>
      <c r="K11" s="1"/>
    </row>
    <row r="12" spans="1:12" x14ac:dyDescent="0.6">
      <c r="A12" s="8" t="s">
        <v>36</v>
      </c>
      <c r="B12" s="8" t="s">
        <v>35</v>
      </c>
      <c r="C12" s="8"/>
      <c r="D12" s="8" t="s">
        <v>26</v>
      </c>
      <c r="E12">
        <f t="shared" si="2"/>
        <v>11</v>
      </c>
      <c r="F12" t="s">
        <v>33</v>
      </c>
      <c r="G12" t="s">
        <v>37</v>
      </c>
      <c r="H12" s="1">
        <f>SUM(보험손익!F65:F66,보험손익!N65:N66)-SUM(보험손익!F86:F86,보험손익!N86:N86)</f>
        <v>-1246</v>
      </c>
      <c r="K12" s="1"/>
    </row>
    <row r="13" spans="1:12" x14ac:dyDescent="0.6">
      <c r="A13" s="8" t="s">
        <v>36</v>
      </c>
      <c r="B13" s="8" t="s">
        <v>35</v>
      </c>
      <c r="C13" s="8"/>
      <c r="D13" s="8" t="s">
        <v>26</v>
      </c>
      <c r="E13">
        <f t="shared" si="2"/>
        <v>12</v>
      </c>
      <c r="F13" t="s">
        <v>34</v>
      </c>
      <c r="G13" t="s">
        <v>37</v>
      </c>
      <c r="H13" s="1">
        <f>H9-SUM(H10:H12)</f>
        <v>-611</v>
      </c>
      <c r="K13" s="1"/>
    </row>
    <row r="14" spans="1:12" x14ac:dyDescent="0.6">
      <c r="A14" s="8" t="s">
        <v>36</v>
      </c>
      <c r="B14" s="8" t="s">
        <v>35</v>
      </c>
      <c r="C14" s="8"/>
      <c r="D14" s="8" t="s">
        <v>26</v>
      </c>
      <c r="E14">
        <f t="shared" si="2"/>
        <v>13</v>
      </c>
      <c r="F14" t="s">
        <v>13</v>
      </c>
      <c r="G14" t="s">
        <v>37</v>
      </c>
      <c r="H14" s="1">
        <f>보험손익!K26+보험손익!S26-보험손익!J47-보험손익!R47+보험손익!J72+보험손익!R72-보험손익!J92-보험손익!R92</f>
        <v>-9541</v>
      </c>
    </row>
    <row r="15" spans="1:12" x14ac:dyDescent="0.6">
      <c r="A15" s="8" t="s">
        <v>36</v>
      </c>
      <c r="B15" s="8" t="s">
        <v>35</v>
      </c>
      <c r="C15" s="8"/>
      <c r="D15" s="8" t="s">
        <v>3</v>
      </c>
      <c r="E15">
        <f t="shared" si="2"/>
        <v>14</v>
      </c>
      <c r="F15" t="s">
        <v>12</v>
      </c>
      <c r="G15" t="s">
        <v>37</v>
      </c>
      <c r="H15" s="1">
        <f>보험손익!I26+보험손익!Q26-보험손익!H47-보험손익!P47+보험손익!H72+보험손익!P72-보험손익!H92-보험손익!P92</f>
        <v>5184</v>
      </c>
      <c r="I15" s="1"/>
    </row>
    <row r="16" spans="1:12" x14ac:dyDescent="0.6">
      <c r="A16" s="8" t="s">
        <v>36</v>
      </c>
      <c r="B16" s="8" t="s">
        <v>35</v>
      </c>
      <c r="C16" s="8"/>
      <c r="D16" s="8" t="s">
        <v>3</v>
      </c>
      <c r="E16">
        <f t="shared" si="2"/>
        <v>15</v>
      </c>
      <c r="F16" t="s">
        <v>8</v>
      </c>
      <c r="G16" t="s">
        <v>37</v>
      </c>
      <c r="H16" s="1"/>
    </row>
    <row r="17" spans="1:9" x14ac:dyDescent="0.6">
      <c r="A17" s="8" t="s">
        <v>36</v>
      </c>
      <c r="B17" s="8" t="s">
        <v>35</v>
      </c>
      <c r="C17" s="8"/>
      <c r="D17" s="8" t="s">
        <v>3</v>
      </c>
      <c r="E17">
        <f t="shared" si="2"/>
        <v>16</v>
      </c>
      <c r="F17" t="s">
        <v>7</v>
      </c>
      <c r="G17" t="s">
        <v>37</v>
      </c>
      <c r="H17" s="1">
        <v>14678</v>
      </c>
    </row>
    <row r="18" spans="1:9" x14ac:dyDescent="0.6">
      <c r="A18" s="8" t="s">
        <v>36</v>
      </c>
      <c r="B18" s="8" t="s">
        <v>35</v>
      </c>
      <c r="C18" s="8"/>
      <c r="D18" s="8" t="s">
        <v>3</v>
      </c>
      <c r="E18">
        <f t="shared" si="2"/>
        <v>17</v>
      </c>
      <c r="F18" t="s">
        <v>11</v>
      </c>
      <c r="G18" t="s">
        <v>37</v>
      </c>
      <c r="H18" s="1"/>
    </row>
    <row r="19" spans="1:9" x14ac:dyDescent="0.6">
      <c r="A19" s="8" t="s">
        <v>36</v>
      </c>
      <c r="B19" s="8" t="s">
        <v>35</v>
      </c>
      <c r="C19" s="8"/>
      <c r="D19" s="8" t="s">
        <v>3</v>
      </c>
      <c r="E19">
        <f t="shared" si="2"/>
        <v>18</v>
      </c>
      <c r="F19" t="s">
        <v>10</v>
      </c>
      <c r="G19" t="s">
        <v>37</v>
      </c>
      <c r="H19" s="1"/>
    </row>
    <row r="20" spans="1:9" x14ac:dyDescent="0.6">
      <c r="A20" s="8" t="s">
        <v>36</v>
      </c>
      <c r="B20" s="8" t="s">
        <v>35</v>
      </c>
      <c r="C20" s="8"/>
      <c r="D20" s="8" t="s">
        <v>3</v>
      </c>
      <c r="E20">
        <f t="shared" si="2"/>
        <v>19</v>
      </c>
      <c r="F20" t="s">
        <v>9</v>
      </c>
      <c r="G20" t="s">
        <v>37</v>
      </c>
      <c r="H20" s="1"/>
    </row>
    <row r="21" spans="1:9" x14ac:dyDescent="0.6">
      <c r="A21" s="8" t="s">
        <v>36</v>
      </c>
      <c r="B21" s="8" t="s">
        <v>35</v>
      </c>
      <c r="C21" s="8"/>
      <c r="D21" s="8" t="s">
        <v>3</v>
      </c>
      <c r="E21">
        <f t="shared" si="2"/>
        <v>20</v>
      </c>
      <c r="F21" t="s">
        <v>1</v>
      </c>
      <c r="G21" t="s">
        <v>37</v>
      </c>
      <c r="H21" s="1"/>
    </row>
    <row r="22" spans="1:9" x14ac:dyDescent="0.6">
      <c r="A22" s="8" t="s">
        <v>36</v>
      </c>
      <c r="B22" s="8" t="s">
        <v>35</v>
      </c>
      <c r="C22" s="8"/>
      <c r="D22" s="8" t="s">
        <v>3</v>
      </c>
      <c r="E22">
        <f t="shared" si="2"/>
        <v>21</v>
      </c>
      <c r="F22" t="s">
        <v>6</v>
      </c>
      <c r="G22" t="s">
        <v>37</v>
      </c>
      <c r="H22" s="1"/>
    </row>
    <row r="23" spans="1:9" x14ac:dyDescent="0.6">
      <c r="A23" s="8" t="s">
        <v>36</v>
      </c>
      <c r="B23" s="8" t="s">
        <v>35</v>
      </c>
      <c r="C23" s="8"/>
      <c r="D23" s="8" t="s">
        <v>3</v>
      </c>
      <c r="E23">
        <f t="shared" si="2"/>
        <v>22</v>
      </c>
      <c r="F23" t="s">
        <v>5</v>
      </c>
      <c r="G23" t="s">
        <v>37</v>
      </c>
      <c r="H23" s="1"/>
    </row>
    <row r="24" spans="1:9" x14ac:dyDescent="0.6">
      <c r="A24" s="8" t="s">
        <v>36</v>
      </c>
      <c r="B24" s="8" t="s">
        <v>35</v>
      </c>
      <c r="C24" s="8"/>
      <c r="D24" s="8" t="s">
        <v>3</v>
      </c>
      <c r="E24">
        <f t="shared" si="2"/>
        <v>23</v>
      </c>
      <c r="F24" t="s">
        <v>4</v>
      </c>
      <c r="G24" t="s">
        <v>37</v>
      </c>
      <c r="H24" s="1"/>
    </row>
    <row r="25" spans="1:9" x14ac:dyDescent="0.6">
      <c r="A25" s="8" t="s">
        <v>36</v>
      </c>
      <c r="B25" s="8" t="s">
        <v>35</v>
      </c>
      <c r="C25" s="8"/>
      <c r="D25" s="8" t="s">
        <v>3</v>
      </c>
      <c r="E25">
        <f t="shared" si="2"/>
        <v>24</v>
      </c>
      <c r="F25" t="s">
        <v>2</v>
      </c>
      <c r="G25" t="s">
        <v>37</v>
      </c>
      <c r="H25" s="1"/>
      <c r="I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2:W95"/>
  <sheetViews>
    <sheetView zoomScaleNormal="100" workbookViewId="0">
      <pane xSplit="1" ySplit="1" topLeftCell="B80" activePane="bottomRight" state="frozen"/>
      <selection pane="topRight" activeCell="D1" sqref="D1"/>
      <selection pane="bottomLeft" activeCell="A2" sqref="A2"/>
      <selection pane="bottomRight" activeCell="F86" sqref="F86"/>
    </sheetView>
  </sheetViews>
  <sheetFormatPr defaultRowHeight="16.899999999999999" x14ac:dyDescent="0.6"/>
  <sheetData>
    <row r="2" spans="1:21" x14ac:dyDescent="0.6">
      <c r="A2" s="13" t="s">
        <v>38</v>
      </c>
    </row>
    <row r="3" spans="1:21" x14ac:dyDescent="0.6">
      <c r="A3" s="14"/>
    </row>
    <row r="4" spans="1:21" ht="54" x14ac:dyDescent="0.6">
      <c r="A4" s="15" t="s">
        <v>39</v>
      </c>
    </row>
    <row r="5" spans="1:21" ht="27" customHeight="1" x14ac:dyDescent="0.6">
      <c r="A5" s="43" t="s">
        <v>39</v>
      </c>
      <c r="B5" s="43"/>
    </row>
    <row r="6" spans="1:21" ht="27" x14ac:dyDescent="0.6">
      <c r="A6" s="14" t="s">
        <v>40</v>
      </c>
      <c r="B6" s="16" t="s">
        <v>41</v>
      </c>
    </row>
    <row r="7" spans="1:21" x14ac:dyDescent="0.6">
      <c r="A7" s="9"/>
      <c r="B7" s="10"/>
      <c r="C7" s="10"/>
      <c r="D7" s="10"/>
      <c r="E7" s="10"/>
      <c r="F7" s="44" t="s">
        <v>42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6"/>
    </row>
    <row r="8" spans="1:21" ht="17" customHeight="1" x14ac:dyDescent="0.6">
      <c r="A8" s="18"/>
      <c r="B8" s="17"/>
      <c r="C8" s="17"/>
      <c r="D8" s="17"/>
      <c r="E8" s="17"/>
      <c r="F8" s="34" t="s">
        <v>43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47"/>
    </row>
    <row r="9" spans="1:21" x14ac:dyDescent="0.6">
      <c r="A9" s="18"/>
      <c r="B9" s="17"/>
      <c r="C9" s="17"/>
      <c r="D9" s="17"/>
      <c r="E9" s="17"/>
      <c r="F9" s="34" t="s">
        <v>44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47"/>
    </row>
    <row r="10" spans="1:21" x14ac:dyDescent="0.6">
      <c r="A10" s="18"/>
      <c r="B10" s="17"/>
      <c r="C10" s="17"/>
      <c r="D10" s="17"/>
      <c r="E10" s="17"/>
      <c r="F10" s="34" t="s">
        <v>45</v>
      </c>
      <c r="G10" s="35"/>
      <c r="H10" s="35"/>
      <c r="I10" s="35"/>
      <c r="J10" s="35"/>
      <c r="K10" s="35"/>
      <c r="L10" s="35"/>
      <c r="M10" s="36"/>
      <c r="N10" s="34" t="s">
        <v>46</v>
      </c>
      <c r="O10" s="35"/>
      <c r="P10" s="35"/>
      <c r="Q10" s="35"/>
      <c r="R10" s="35"/>
      <c r="S10" s="35"/>
      <c r="T10" s="35"/>
      <c r="U10" s="47"/>
    </row>
    <row r="11" spans="1:21" x14ac:dyDescent="0.6">
      <c r="A11" s="18"/>
      <c r="B11" s="17"/>
      <c r="C11" s="17"/>
      <c r="D11" s="17"/>
      <c r="E11" s="17"/>
      <c r="F11" s="34" t="s">
        <v>47</v>
      </c>
      <c r="G11" s="35"/>
      <c r="H11" s="35"/>
      <c r="I11" s="35"/>
      <c r="J11" s="35"/>
      <c r="K11" s="36"/>
      <c r="L11" s="37" t="s">
        <v>48</v>
      </c>
      <c r="M11" s="38"/>
      <c r="N11" s="34" t="s">
        <v>47</v>
      </c>
      <c r="O11" s="35"/>
      <c r="P11" s="35"/>
      <c r="Q11" s="35"/>
      <c r="R11" s="35"/>
      <c r="S11" s="36"/>
      <c r="T11" s="37" t="s">
        <v>48</v>
      </c>
      <c r="U11" s="41"/>
    </row>
    <row r="12" spans="1:21" x14ac:dyDescent="0.6">
      <c r="A12" s="18"/>
      <c r="B12" s="17"/>
      <c r="C12" s="17"/>
      <c r="D12" s="17"/>
      <c r="E12" s="17"/>
      <c r="F12" s="34" t="s">
        <v>49</v>
      </c>
      <c r="G12" s="36"/>
      <c r="H12" s="34" t="s">
        <v>50</v>
      </c>
      <c r="I12" s="36"/>
      <c r="J12" s="34" t="s">
        <v>51</v>
      </c>
      <c r="K12" s="36"/>
      <c r="L12" s="39"/>
      <c r="M12" s="40"/>
      <c r="N12" s="34" t="s">
        <v>49</v>
      </c>
      <c r="O12" s="36"/>
      <c r="P12" s="34" t="s">
        <v>50</v>
      </c>
      <c r="Q12" s="36"/>
      <c r="R12" s="34" t="s">
        <v>51</v>
      </c>
      <c r="S12" s="36"/>
      <c r="T12" s="39"/>
      <c r="U12" s="42"/>
    </row>
    <row r="13" spans="1:21" x14ac:dyDescent="0.6">
      <c r="A13" s="18"/>
      <c r="B13" s="17"/>
      <c r="C13" s="17"/>
      <c r="D13" s="17"/>
      <c r="E13" s="17"/>
      <c r="F13" s="17" t="s">
        <v>52</v>
      </c>
      <c r="G13" s="17" t="s">
        <v>53</v>
      </c>
      <c r="H13" s="17" t="s">
        <v>52</v>
      </c>
      <c r="I13" s="17" t="s">
        <v>53</v>
      </c>
      <c r="J13" s="17" t="s">
        <v>52</v>
      </c>
      <c r="K13" s="17" t="s">
        <v>53</v>
      </c>
      <c r="L13" s="17" t="s">
        <v>52</v>
      </c>
      <c r="M13" s="17" t="s">
        <v>53</v>
      </c>
      <c r="N13" s="17" t="s">
        <v>52</v>
      </c>
      <c r="O13" s="17" t="s">
        <v>53</v>
      </c>
      <c r="P13" s="17" t="s">
        <v>52</v>
      </c>
      <c r="Q13" s="17" t="s">
        <v>53</v>
      </c>
      <c r="R13" s="17" t="s">
        <v>52</v>
      </c>
      <c r="S13" s="17" t="s">
        <v>53</v>
      </c>
      <c r="T13" s="17" t="s">
        <v>52</v>
      </c>
      <c r="U13" s="19" t="s">
        <v>53</v>
      </c>
    </row>
    <row r="14" spans="1:21" x14ac:dyDescent="0.6">
      <c r="A14" s="24" t="s">
        <v>54</v>
      </c>
      <c r="B14" s="25"/>
      <c r="C14" s="25"/>
      <c r="D14" s="25"/>
      <c r="E14" s="26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</row>
    <row r="15" spans="1:21" ht="27" customHeight="1" x14ac:dyDescent="0.6">
      <c r="A15" s="27" t="s">
        <v>54</v>
      </c>
      <c r="B15" s="30" t="s">
        <v>55</v>
      </c>
      <c r="C15" s="25"/>
      <c r="D15" s="25"/>
      <c r="E15" s="26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</row>
    <row r="16" spans="1:21" ht="27" customHeight="1" x14ac:dyDescent="0.6">
      <c r="A16" s="28"/>
      <c r="B16" s="31" t="s">
        <v>55</v>
      </c>
      <c r="C16" s="30" t="s">
        <v>56</v>
      </c>
      <c r="D16" s="25"/>
      <c r="E16" s="26"/>
      <c r="F16" s="2">
        <v>527341</v>
      </c>
      <c r="G16" s="2">
        <v>1062763</v>
      </c>
      <c r="H16" s="3">
        <v>0</v>
      </c>
      <c r="I16" s="3">
        <v>0</v>
      </c>
      <c r="J16" s="3">
        <v>0</v>
      </c>
      <c r="K16" s="3">
        <v>0</v>
      </c>
      <c r="L16" s="2">
        <v>527341</v>
      </c>
      <c r="M16" s="2">
        <v>1062763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7">
        <v>0</v>
      </c>
    </row>
    <row r="17" spans="1:23" ht="40.5" customHeight="1" x14ac:dyDescent="0.6">
      <c r="A17" s="28"/>
      <c r="B17" s="32"/>
      <c r="C17" s="30" t="s">
        <v>57</v>
      </c>
      <c r="D17" s="25"/>
      <c r="E17" s="26"/>
      <c r="F17" s="2">
        <v>458661</v>
      </c>
      <c r="G17" s="2">
        <v>927845</v>
      </c>
      <c r="H17" s="3">
        <v>0</v>
      </c>
      <c r="I17" s="3">
        <v>0</v>
      </c>
      <c r="J17" s="3">
        <v>0</v>
      </c>
      <c r="K17" s="3">
        <v>0</v>
      </c>
      <c r="L17" s="2">
        <v>458661</v>
      </c>
      <c r="M17" s="2">
        <v>927845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7">
        <v>0</v>
      </c>
    </row>
    <row r="18" spans="1:23" ht="40.5" customHeight="1" x14ac:dyDescent="0.6">
      <c r="A18" s="28"/>
      <c r="B18" s="32"/>
      <c r="C18" s="31" t="s">
        <v>57</v>
      </c>
      <c r="D18" s="30" t="s">
        <v>58</v>
      </c>
      <c r="E18" s="26"/>
      <c r="F18" s="2">
        <v>406835</v>
      </c>
      <c r="G18" s="2">
        <v>822752</v>
      </c>
      <c r="H18" s="3">
        <v>0</v>
      </c>
      <c r="I18" s="3">
        <v>0</v>
      </c>
      <c r="J18" s="3">
        <v>0</v>
      </c>
      <c r="K18" s="3">
        <v>0</v>
      </c>
      <c r="L18" s="2">
        <v>406835</v>
      </c>
      <c r="M18" s="2">
        <v>822752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7">
        <v>0</v>
      </c>
    </row>
    <row r="19" spans="1:23" ht="40.5" customHeight="1" x14ac:dyDescent="0.6">
      <c r="A19" s="28"/>
      <c r="B19" s="32"/>
      <c r="C19" s="32"/>
      <c r="D19" s="30" t="s">
        <v>59</v>
      </c>
      <c r="E19" s="26"/>
      <c r="F19" s="2">
        <v>51826</v>
      </c>
      <c r="G19" s="2">
        <v>105093</v>
      </c>
      <c r="H19" s="3">
        <v>0</v>
      </c>
      <c r="I19" s="3">
        <v>0</v>
      </c>
      <c r="J19" s="3">
        <v>0</v>
      </c>
      <c r="K19" s="3">
        <v>0</v>
      </c>
      <c r="L19" s="2">
        <v>51826</v>
      </c>
      <c r="M19" s="2">
        <v>105093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7">
        <v>0</v>
      </c>
    </row>
    <row r="20" spans="1:23" ht="67.5" x14ac:dyDescent="0.6">
      <c r="A20" s="28"/>
      <c r="B20" s="32"/>
      <c r="C20" s="32"/>
      <c r="D20" s="31" t="s">
        <v>59</v>
      </c>
      <c r="E20" s="11" t="s">
        <v>60</v>
      </c>
      <c r="F20" s="2">
        <v>34181</v>
      </c>
      <c r="G20" s="2">
        <v>69484</v>
      </c>
      <c r="H20" s="3">
        <v>0</v>
      </c>
      <c r="I20" s="3">
        <v>0</v>
      </c>
      <c r="J20" s="3">
        <v>0</v>
      </c>
      <c r="K20" s="3">
        <v>0</v>
      </c>
      <c r="L20" s="2">
        <v>34181</v>
      </c>
      <c r="M20" s="2">
        <v>69484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7">
        <v>0</v>
      </c>
    </row>
    <row r="21" spans="1:23" ht="81" x14ac:dyDescent="0.6">
      <c r="A21" s="28"/>
      <c r="B21" s="32"/>
      <c r="C21" s="32"/>
      <c r="D21" s="32"/>
      <c r="E21" s="11" t="s">
        <v>61</v>
      </c>
      <c r="F21" s="2">
        <v>2120</v>
      </c>
      <c r="G21" s="2">
        <v>4247</v>
      </c>
      <c r="H21" s="3">
        <v>0</v>
      </c>
      <c r="I21" s="3">
        <v>0</v>
      </c>
      <c r="J21" s="3">
        <v>0</v>
      </c>
      <c r="K21" s="3">
        <v>0</v>
      </c>
      <c r="L21" s="2">
        <v>2120</v>
      </c>
      <c r="M21" s="2">
        <v>4247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7">
        <v>0</v>
      </c>
    </row>
    <row r="22" spans="1:23" ht="81" x14ac:dyDescent="0.6">
      <c r="A22" s="28"/>
      <c r="B22" s="32"/>
      <c r="C22" s="33"/>
      <c r="D22" s="33"/>
      <c r="E22" s="11" t="s">
        <v>62</v>
      </c>
      <c r="F22" s="2">
        <v>15525</v>
      </c>
      <c r="G22" s="2">
        <v>31362</v>
      </c>
      <c r="H22" s="3">
        <v>0</v>
      </c>
      <c r="I22" s="3">
        <v>0</v>
      </c>
      <c r="J22" s="3">
        <v>0</v>
      </c>
      <c r="K22" s="3">
        <v>0</v>
      </c>
      <c r="L22" s="2">
        <v>15525</v>
      </c>
      <c r="M22" s="2">
        <v>31362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7">
        <v>0</v>
      </c>
    </row>
    <row r="23" spans="1:23" ht="27" customHeight="1" x14ac:dyDescent="0.6">
      <c r="A23" s="28"/>
      <c r="B23" s="32"/>
      <c r="C23" s="30" t="s">
        <v>63</v>
      </c>
      <c r="D23" s="25"/>
      <c r="E23" s="26"/>
      <c r="F23" s="2">
        <v>9999</v>
      </c>
      <c r="G23" s="2">
        <v>19825</v>
      </c>
      <c r="H23" s="3">
        <v>0</v>
      </c>
      <c r="I23" s="3">
        <v>0</v>
      </c>
      <c r="J23" s="3">
        <v>0</v>
      </c>
      <c r="K23" s="3">
        <v>0</v>
      </c>
      <c r="L23" s="2">
        <v>9999</v>
      </c>
      <c r="M23" s="2">
        <v>19825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7">
        <v>0</v>
      </c>
    </row>
    <row r="24" spans="1:23" ht="27" customHeight="1" x14ac:dyDescent="0.6">
      <c r="A24" s="28"/>
      <c r="B24" s="33"/>
      <c r="C24" s="30" t="s">
        <v>64</v>
      </c>
      <c r="D24" s="25"/>
      <c r="E24" s="26"/>
      <c r="F24" s="2">
        <v>58681</v>
      </c>
      <c r="G24" s="2">
        <v>115093</v>
      </c>
      <c r="H24" s="3">
        <v>0</v>
      </c>
      <c r="I24" s="3">
        <v>0</v>
      </c>
      <c r="J24" s="3">
        <v>0</v>
      </c>
      <c r="K24" s="3">
        <v>0</v>
      </c>
      <c r="L24" s="2">
        <v>58681</v>
      </c>
      <c r="M24" s="2">
        <v>115093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7">
        <v>0</v>
      </c>
    </row>
    <row r="25" spans="1:23" ht="27" customHeight="1" x14ac:dyDescent="0.6">
      <c r="A25" s="28"/>
      <c r="B25" s="30" t="s">
        <v>65</v>
      </c>
      <c r="C25" s="25"/>
      <c r="D25" s="25"/>
      <c r="E25" s="26"/>
      <c r="F25" s="2">
        <v>59816</v>
      </c>
      <c r="G25" s="2">
        <v>118480</v>
      </c>
      <c r="H25" s="3">
        <v>0</v>
      </c>
      <c r="I25" s="3">
        <v>0</v>
      </c>
      <c r="J25" s="3">
        <v>0</v>
      </c>
      <c r="K25" s="3">
        <v>0</v>
      </c>
      <c r="L25" s="2">
        <v>59816</v>
      </c>
      <c r="M25" s="2">
        <v>118480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7">
        <v>0</v>
      </c>
    </row>
    <row r="26" spans="1:23" x14ac:dyDescent="0.6">
      <c r="A26" s="29"/>
      <c r="B26" s="21" t="s">
        <v>66</v>
      </c>
      <c r="C26" s="22"/>
      <c r="D26" s="22"/>
      <c r="E26" s="23"/>
      <c r="F26" s="5">
        <v>587157</v>
      </c>
      <c r="G26" s="5">
        <v>1181243</v>
      </c>
      <c r="H26" s="20">
        <v>0</v>
      </c>
      <c r="I26" s="20">
        <v>0</v>
      </c>
      <c r="J26" s="20">
        <v>0</v>
      </c>
      <c r="K26" s="20">
        <v>0</v>
      </c>
      <c r="L26" s="5">
        <v>587157</v>
      </c>
      <c r="M26" s="5">
        <v>1181243</v>
      </c>
      <c r="N26" s="20">
        <v>0</v>
      </c>
      <c r="O26" s="20">
        <v>0</v>
      </c>
      <c r="P26" s="5">
        <v>36866</v>
      </c>
      <c r="Q26" s="5">
        <v>69976</v>
      </c>
      <c r="R26" s="5">
        <v>28069</v>
      </c>
      <c r="S26" s="5">
        <v>54980</v>
      </c>
      <c r="T26" s="5">
        <v>64935</v>
      </c>
      <c r="U26" s="6">
        <v>124956</v>
      </c>
      <c r="V26" s="1">
        <f t="shared" ref="V26:W26" si="0">L26+T26</f>
        <v>652092</v>
      </c>
      <c r="W26" s="1">
        <f t="shared" si="0"/>
        <v>1306199</v>
      </c>
    </row>
    <row r="27" spans="1:23" x14ac:dyDescent="0.6">
      <c r="A27" s="14"/>
    </row>
    <row r="28" spans="1:23" ht="27" customHeight="1" x14ac:dyDescent="0.6">
      <c r="A28" s="43" t="s">
        <v>67</v>
      </c>
      <c r="B28" s="43"/>
    </row>
    <row r="29" spans="1:23" ht="27" x14ac:dyDescent="0.6">
      <c r="A29" s="14" t="s">
        <v>40</v>
      </c>
      <c r="B29" s="16" t="s">
        <v>41</v>
      </c>
    </row>
    <row r="30" spans="1:23" x14ac:dyDescent="0.6">
      <c r="A30" s="9"/>
      <c r="B30" s="10"/>
      <c r="C30" s="10"/>
      <c r="D30" s="10"/>
      <c r="E30" s="44" t="s">
        <v>42</v>
      </c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6"/>
    </row>
    <row r="31" spans="1:23" x14ac:dyDescent="0.6">
      <c r="A31" s="18"/>
      <c r="B31" s="17"/>
      <c r="C31" s="17"/>
      <c r="D31" s="17"/>
      <c r="E31" s="34" t="s">
        <v>43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47"/>
    </row>
    <row r="32" spans="1:23" x14ac:dyDescent="0.6">
      <c r="A32" s="18"/>
      <c r="B32" s="17"/>
      <c r="C32" s="17"/>
      <c r="D32" s="17"/>
      <c r="E32" s="34" t="s">
        <v>44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47"/>
    </row>
    <row r="33" spans="1:20" x14ac:dyDescent="0.6">
      <c r="A33" s="18"/>
      <c r="B33" s="17"/>
      <c r="C33" s="17"/>
      <c r="D33" s="17"/>
      <c r="E33" s="34" t="s">
        <v>45</v>
      </c>
      <c r="F33" s="35"/>
      <c r="G33" s="35"/>
      <c r="H33" s="35"/>
      <c r="I33" s="35"/>
      <c r="J33" s="35"/>
      <c r="K33" s="35"/>
      <c r="L33" s="36"/>
      <c r="M33" s="34" t="s">
        <v>46</v>
      </c>
      <c r="N33" s="35"/>
      <c r="O33" s="35"/>
      <c r="P33" s="35"/>
      <c r="Q33" s="35"/>
      <c r="R33" s="35"/>
      <c r="S33" s="35"/>
      <c r="T33" s="47"/>
    </row>
    <row r="34" spans="1:20" x14ac:dyDescent="0.6">
      <c r="A34" s="18"/>
      <c r="B34" s="17"/>
      <c r="C34" s="17"/>
      <c r="D34" s="17"/>
      <c r="E34" s="34" t="s">
        <v>47</v>
      </c>
      <c r="F34" s="35"/>
      <c r="G34" s="35"/>
      <c r="H34" s="35"/>
      <c r="I34" s="35"/>
      <c r="J34" s="36"/>
      <c r="K34" s="37" t="s">
        <v>48</v>
      </c>
      <c r="L34" s="38"/>
      <c r="M34" s="34" t="s">
        <v>47</v>
      </c>
      <c r="N34" s="35"/>
      <c r="O34" s="35"/>
      <c r="P34" s="35"/>
      <c r="Q34" s="35"/>
      <c r="R34" s="36"/>
      <c r="S34" s="37" t="s">
        <v>48</v>
      </c>
      <c r="T34" s="41"/>
    </row>
    <row r="35" spans="1:20" x14ac:dyDescent="0.6">
      <c r="A35" s="18"/>
      <c r="B35" s="17"/>
      <c r="C35" s="17"/>
      <c r="D35" s="17"/>
      <c r="E35" s="34" t="s">
        <v>49</v>
      </c>
      <c r="F35" s="36"/>
      <c r="G35" s="34" t="s">
        <v>50</v>
      </c>
      <c r="H35" s="36"/>
      <c r="I35" s="34" t="s">
        <v>51</v>
      </c>
      <c r="J35" s="36"/>
      <c r="K35" s="39"/>
      <c r="L35" s="40"/>
      <c r="M35" s="34" t="s">
        <v>49</v>
      </c>
      <c r="N35" s="36"/>
      <c r="O35" s="34" t="s">
        <v>50</v>
      </c>
      <c r="P35" s="36"/>
      <c r="Q35" s="34" t="s">
        <v>51</v>
      </c>
      <c r="R35" s="36"/>
      <c r="S35" s="39"/>
      <c r="T35" s="42"/>
    </row>
    <row r="36" spans="1:20" x14ac:dyDescent="0.6">
      <c r="A36" s="18"/>
      <c r="B36" s="17"/>
      <c r="C36" s="17"/>
      <c r="D36" s="17"/>
      <c r="E36" s="17" t="s">
        <v>52</v>
      </c>
      <c r="F36" s="17" t="s">
        <v>53</v>
      </c>
      <c r="G36" s="17" t="s">
        <v>52</v>
      </c>
      <c r="H36" s="17" t="s">
        <v>53</v>
      </c>
      <c r="I36" s="17" t="s">
        <v>52</v>
      </c>
      <c r="J36" s="17" t="s">
        <v>53</v>
      </c>
      <c r="K36" s="17" t="s">
        <v>52</v>
      </c>
      <c r="L36" s="17" t="s">
        <v>53</v>
      </c>
      <c r="M36" s="17" t="s">
        <v>52</v>
      </c>
      <c r="N36" s="17" t="s">
        <v>53</v>
      </c>
      <c r="O36" s="17" t="s">
        <v>52</v>
      </c>
      <c r="P36" s="17" t="s">
        <v>53</v>
      </c>
      <c r="Q36" s="17" t="s">
        <v>52</v>
      </c>
      <c r="R36" s="17" t="s">
        <v>53</v>
      </c>
      <c r="S36" s="17" t="s">
        <v>52</v>
      </c>
      <c r="T36" s="19" t="s">
        <v>53</v>
      </c>
    </row>
    <row r="37" spans="1:20" ht="27" customHeight="1" x14ac:dyDescent="0.6">
      <c r="A37" s="24" t="s">
        <v>68</v>
      </c>
      <c r="B37" s="25"/>
      <c r="C37" s="25"/>
      <c r="D37" s="2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2"/>
    </row>
    <row r="38" spans="1:20" ht="40.5" customHeight="1" x14ac:dyDescent="0.6">
      <c r="A38" s="27" t="s">
        <v>68</v>
      </c>
      <c r="B38" s="30" t="s">
        <v>69</v>
      </c>
      <c r="C38" s="25"/>
      <c r="D38" s="26"/>
      <c r="E38" s="2">
        <v>485195</v>
      </c>
      <c r="F38" s="2">
        <v>948088</v>
      </c>
      <c r="G38" s="3">
        <v>0</v>
      </c>
      <c r="H38" s="3">
        <v>0</v>
      </c>
      <c r="I38" s="3">
        <v>0</v>
      </c>
      <c r="J38" s="3">
        <v>0</v>
      </c>
      <c r="K38" s="2">
        <v>485195</v>
      </c>
      <c r="L38" s="2">
        <v>948088</v>
      </c>
      <c r="M38" s="3">
        <v>0</v>
      </c>
      <c r="N38" s="3">
        <v>0</v>
      </c>
      <c r="O38" s="2">
        <v>10735</v>
      </c>
      <c r="P38" s="2">
        <v>21079</v>
      </c>
      <c r="Q38" s="2">
        <v>29187</v>
      </c>
      <c r="R38" s="2">
        <v>58177</v>
      </c>
      <c r="S38" s="2">
        <v>39922</v>
      </c>
      <c r="T38" s="4">
        <v>79256</v>
      </c>
    </row>
    <row r="39" spans="1:20" ht="27" customHeight="1" x14ac:dyDescent="0.6">
      <c r="A39" s="28"/>
      <c r="B39" s="31" t="s">
        <v>69</v>
      </c>
      <c r="C39" s="30" t="s">
        <v>70</v>
      </c>
      <c r="D39" s="26"/>
      <c r="E39" s="2">
        <v>430970</v>
      </c>
      <c r="F39" s="2">
        <v>838215</v>
      </c>
      <c r="G39" s="3">
        <v>0</v>
      </c>
      <c r="H39" s="3">
        <v>0</v>
      </c>
      <c r="I39" s="3">
        <v>0</v>
      </c>
      <c r="J39" s="3">
        <v>0</v>
      </c>
      <c r="K39" s="2">
        <v>430970</v>
      </c>
      <c r="L39" s="2">
        <v>838215</v>
      </c>
      <c r="M39" s="3">
        <v>0</v>
      </c>
      <c r="N39" s="3">
        <v>0</v>
      </c>
      <c r="O39" s="2">
        <v>7997</v>
      </c>
      <c r="P39" s="2">
        <v>15649</v>
      </c>
      <c r="Q39" s="2">
        <v>23800</v>
      </c>
      <c r="R39" s="2">
        <v>47459</v>
      </c>
      <c r="S39" s="2">
        <v>31797</v>
      </c>
      <c r="T39" s="4">
        <v>63108</v>
      </c>
    </row>
    <row r="40" spans="1:20" ht="40.5" customHeight="1" x14ac:dyDescent="0.6">
      <c r="A40" s="28"/>
      <c r="B40" s="32"/>
      <c r="C40" s="30" t="s">
        <v>71</v>
      </c>
      <c r="D40" s="26"/>
      <c r="E40" s="2">
        <v>54225</v>
      </c>
      <c r="F40" s="2">
        <v>109873</v>
      </c>
      <c r="G40" s="3">
        <v>0</v>
      </c>
      <c r="H40" s="3">
        <v>0</v>
      </c>
      <c r="I40" s="3">
        <v>0</v>
      </c>
      <c r="J40" s="3">
        <v>0</v>
      </c>
      <c r="K40" s="2">
        <v>54225</v>
      </c>
      <c r="L40" s="2">
        <v>109873</v>
      </c>
      <c r="M40" s="3">
        <v>0</v>
      </c>
      <c r="N40" s="3">
        <v>0</v>
      </c>
      <c r="O40" s="2">
        <v>2738</v>
      </c>
      <c r="P40" s="2">
        <v>5430</v>
      </c>
      <c r="Q40" s="2">
        <v>5387</v>
      </c>
      <c r="R40" s="2">
        <v>10718</v>
      </c>
      <c r="S40" s="2">
        <v>8125</v>
      </c>
      <c r="T40" s="4">
        <v>16148</v>
      </c>
    </row>
    <row r="41" spans="1:20" ht="54" x14ac:dyDescent="0.6">
      <c r="A41" s="28"/>
      <c r="B41" s="32"/>
      <c r="C41" s="31" t="s">
        <v>71</v>
      </c>
      <c r="D41" s="11" t="s">
        <v>72</v>
      </c>
      <c r="E41" s="2">
        <v>17371</v>
      </c>
      <c r="F41" s="2">
        <v>34387</v>
      </c>
      <c r="G41" s="3">
        <v>0</v>
      </c>
      <c r="H41" s="3">
        <v>0</v>
      </c>
      <c r="I41" s="3">
        <v>0</v>
      </c>
      <c r="J41" s="3">
        <v>0</v>
      </c>
      <c r="K41" s="2">
        <v>17371</v>
      </c>
      <c r="L41" s="2">
        <v>34387</v>
      </c>
      <c r="M41" s="3">
        <v>0</v>
      </c>
      <c r="N41" s="3">
        <v>0</v>
      </c>
      <c r="O41" s="3">
        <v>678</v>
      </c>
      <c r="P41" s="2">
        <v>1219</v>
      </c>
      <c r="Q41" s="2">
        <v>2713</v>
      </c>
      <c r="R41" s="2">
        <v>5459</v>
      </c>
      <c r="S41" s="2">
        <v>3391</v>
      </c>
      <c r="T41" s="4">
        <v>6678</v>
      </c>
    </row>
    <row r="42" spans="1:20" ht="54" x14ac:dyDescent="0.6">
      <c r="A42" s="28"/>
      <c r="B42" s="32"/>
      <c r="C42" s="32"/>
      <c r="D42" s="11" t="s">
        <v>73</v>
      </c>
      <c r="E42" s="2">
        <v>2507</v>
      </c>
      <c r="F42" s="2">
        <v>4798</v>
      </c>
      <c r="G42" s="3">
        <v>0</v>
      </c>
      <c r="H42" s="3">
        <v>0</v>
      </c>
      <c r="I42" s="3">
        <v>0</v>
      </c>
      <c r="J42" s="3">
        <v>0</v>
      </c>
      <c r="K42" s="2">
        <v>2507</v>
      </c>
      <c r="L42" s="2">
        <v>4798</v>
      </c>
      <c r="M42" s="3">
        <v>0</v>
      </c>
      <c r="N42" s="3">
        <v>0</v>
      </c>
      <c r="O42" s="3">
        <v>30</v>
      </c>
      <c r="P42" s="3">
        <v>54</v>
      </c>
      <c r="Q42" s="3">
        <v>18</v>
      </c>
      <c r="R42" s="3">
        <v>32</v>
      </c>
      <c r="S42" s="3">
        <v>48</v>
      </c>
      <c r="T42" s="7">
        <v>86</v>
      </c>
    </row>
    <row r="43" spans="1:20" ht="54" x14ac:dyDescent="0.6">
      <c r="A43" s="28"/>
      <c r="B43" s="33"/>
      <c r="C43" s="33"/>
      <c r="D43" s="11" t="s">
        <v>74</v>
      </c>
      <c r="E43" s="2">
        <v>34347</v>
      </c>
      <c r="F43" s="2">
        <v>70688</v>
      </c>
      <c r="G43" s="3">
        <v>0</v>
      </c>
      <c r="H43" s="3">
        <v>0</v>
      </c>
      <c r="I43" s="3">
        <v>0</v>
      </c>
      <c r="J43" s="3">
        <v>0</v>
      </c>
      <c r="K43" s="2">
        <v>34347</v>
      </c>
      <c r="L43" s="2">
        <v>70688</v>
      </c>
      <c r="M43" s="3">
        <v>0</v>
      </c>
      <c r="N43" s="3">
        <v>0</v>
      </c>
      <c r="O43" s="2">
        <v>2030</v>
      </c>
      <c r="P43" s="2">
        <v>4157</v>
      </c>
      <c r="Q43" s="2">
        <v>2656</v>
      </c>
      <c r="R43" s="2">
        <v>5227</v>
      </c>
      <c r="S43" s="2">
        <v>4686</v>
      </c>
      <c r="T43" s="4">
        <v>9384</v>
      </c>
    </row>
    <row r="44" spans="1:20" ht="27" customHeight="1" x14ac:dyDescent="0.6">
      <c r="A44" s="28"/>
      <c r="B44" s="30" t="s">
        <v>75</v>
      </c>
      <c r="C44" s="25"/>
      <c r="D44" s="26"/>
      <c r="E44" s="2">
        <v>3544</v>
      </c>
      <c r="F44" s="2">
        <v>28631</v>
      </c>
      <c r="G44" s="3">
        <v>0</v>
      </c>
      <c r="H44" s="3">
        <v>0</v>
      </c>
      <c r="I44" s="3">
        <v>0</v>
      </c>
      <c r="J44" s="3">
        <v>0</v>
      </c>
      <c r="K44" s="2">
        <v>3544</v>
      </c>
      <c r="L44" s="2">
        <v>28631</v>
      </c>
      <c r="M44" s="3">
        <v>0</v>
      </c>
      <c r="N44" s="3">
        <v>0</v>
      </c>
      <c r="O44" s="2">
        <v>8244</v>
      </c>
      <c r="P44" s="2">
        <v>11248</v>
      </c>
      <c r="Q44" s="3">
        <v>-637</v>
      </c>
      <c r="R44" s="2">
        <v>-2732</v>
      </c>
      <c r="S44" s="2">
        <v>7607</v>
      </c>
      <c r="T44" s="4">
        <v>8516</v>
      </c>
    </row>
    <row r="45" spans="1:20" ht="27" customHeight="1" x14ac:dyDescent="0.6">
      <c r="A45" s="28"/>
      <c r="B45" s="30" t="s">
        <v>76</v>
      </c>
      <c r="C45" s="25"/>
      <c r="D45" s="26"/>
      <c r="E45" s="3">
        <v>-260</v>
      </c>
      <c r="F45" s="2">
        <v>-9818</v>
      </c>
      <c r="G45" s="3">
        <v>0</v>
      </c>
      <c r="H45" s="3">
        <v>0</v>
      </c>
      <c r="I45" s="3">
        <v>0</v>
      </c>
      <c r="J45" s="3">
        <v>0</v>
      </c>
      <c r="K45" s="3">
        <v>-260</v>
      </c>
      <c r="L45" s="2">
        <v>-9818</v>
      </c>
      <c r="M45" s="3">
        <v>0</v>
      </c>
      <c r="N45" s="3">
        <v>0</v>
      </c>
      <c r="O45" s="3">
        <v>-109</v>
      </c>
      <c r="P45" s="3">
        <v>-234</v>
      </c>
      <c r="Q45" s="3">
        <v>-1</v>
      </c>
      <c r="R45" s="3">
        <v>-6</v>
      </c>
      <c r="S45" s="3">
        <v>-110</v>
      </c>
      <c r="T45" s="7">
        <v>-240</v>
      </c>
    </row>
    <row r="46" spans="1:20" ht="27" customHeight="1" x14ac:dyDescent="0.6">
      <c r="A46" s="28"/>
      <c r="B46" s="30" t="s">
        <v>77</v>
      </c>
      <c r="C46" s="25"/>
      <c r="D46" s="26"/>
      <c r="E46" s="2">
        <v>50636</v>
      </c>
      <c r="F46" s="2">
        <v>103680</v>
      </c>
      <c r="G46" s="3">
        <v>0</v>
      </c>
      <c r="H46" s="3">
        <v>0</v>
      </c>
      <c r="I46" s="3">
        <v>0</v>
      </c>
      <c r="J46" s="3">
        <v>0</v>
      </c>
      <c r="K46" s="2">
        <v>50636</v>
      </c>
      <c r="L46" s="2">
        <v>103680</v>
      </c>
      <c r="M46" s="3">
        <v>0</v>
      </c>
      <c r="N46" s="3">
        <v>0</v>
      </c>
      <c r="O46" s="2">
        <v>4825</v>
      </c>
      <c r="P46" s="2">
        <v>9664</v>
      </c>
      <c r="Q46" s="2">
        <v>4535</v>
      </c>
      <c r="R46" s="2">
        <v>8353</v>
      </c>
      <c r="S46" s="2">
        <v>9360</v>
      </c>
      <c r="T46" s="4">
        <v>18017</v>
      </c>
    </row>
    <row r="47" spans="1:20" x14ac:dyDescent="0.6">
      <c r="A47" s="29"/>
      <c r="B47" s="21" t="s">
        <v>78</v>
      </c>
      <c r="C47" s="22"/>
      <c r="D47" s="23"/>
      <c r="E47" s="5">
        <v>539115</v>
      </c>
      <c r="F47" s="5">
        <v>1070581</v>
      </c>
      <c r="G47" s="20">
        <v>0</v>
      </c>
      <c r="H47" s="20">
        <v>0</v>
      </c>
      <c r="I47" s="20">
        <v>0</v>
      </c>
      <c r="J47" s="20">
        <v>0</v>
      </c>
      <c r="K47" s="5">
        <v>539115</v>
      </c>
      <c r="L47" s="5">
        <v>1070581</v>
      </c>
      <c r="M47" s="20">
        <v>0</v>
      </c>
      <c r="N47" s="20">
        <v>0</v>
      </c>
      <c r="O47" s="5">
        <v>23695</v>
      </c>
      <c r="P47" s="5">
        <v>41757</v>
      </c>
      <c r="Q47" s="5">
        <v>33084</v>
      </c>
      <c r="R47" s="5">
        <v>63792</v>
      </c>
      <c r="S47" s="5">
        <v>56779</v>
      </c>
      <c r="T47" s="6">
        <v>105549</v>
      </c>
    </row>
    <row r="48" spans="1:20" x14ac:dyDescent="0.6">
      <c r="A48" s="14"/>
    </row>
    <row r="49" spans="1:20" x14ac:dyDescent="0.6">
      <c r="A49" s="14"/>
    </row>
    <row r="51" spans="1:20" x14ac:dyDescent="0.6">
      <c r="A51" s="13" t="s">
        <v>79</v>
      </c>
    </row>
    <row r="52" spans="1:20" x14ac:dyDescent="0.6">
      <c r="A52" s="14"/>
    </row>
    <row r="53" spans="1:20" ht="27" customHeight="1" x14ac:dyDescent="0.6">
      <c r="A53" s="43" t="s">
        <v>80</v>
      </c>
      <c r="B53" s="43"/>
    </row>
    <row r="54" spans="1:20" ht="27" x14ac:dyDescent="0.6">
      <c r="A54" s="14" t="s">
        <v>40</v>
      </c>
      <c r="B54" s="16" t="s">
        <v>41</v>
      </c>
    </row>
    <row r="55" spans="1:20" x14ac:dyDescent="0.6">
      <c r="A55" s="9"/>
      <c r="B55" s="10"/>
      <c r="C55" s="10"/>
      <c r="D55" s="10"/>
      <c r="E55" s="44" t="s">
        <v>42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6"/>
    </row>
    <row r="56" spans="1:20" x14ac:dyDescent="0.6">
      <c r="A56" s="18"/>
      <c r="B56" s="17"/>
      <c r="C56" s="17"/>
      <c r="D56" s="17"/>
      <c r="E56" s="34" t="s">
        <v>81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47"/>
    </row>
    <row r="57" spans="1:20" x14ac:dyDescent="0.6">
      <c r="A57" s="18"/>
      <c r="B57" s="17"/>
      <c r="C57" s="17"/>
      <c r="D57" s="17"/>
      <c r="E57" s="34" t="s">
        <v>44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47"/>
    </row>
    <row r="58" spans="1:20" x14ac:dyDescent="0.6">
      <c r="A58" s="18"/>
      <c r="B58" s="17"/>
      <c r="C58" s="17"/>
      <c r="D58" s="17"/>
      <c r="E58" s="34" t="s">
        <v>45</v>
      </c>
      <c r="F58" s="35"/>
      <c r="G58" s="35"/>
      <c r="H58" s="35"/>
      <c r="I58" s="35"/>
      <c r="J58" s="35"/>
      <c r="K58" s="35"/>
      <c r="L58" s="36"/>
      <c r="M58" s="34" t="s">
        <v>46</v>
      </c>
      <c r="N58" s="35"/>
      <c r="O58" s="35"/>
      <c r="P58" s="35"/>
      <c r="Q58" s="35"/>
      <c r="R58" s="35"/>
      <c r="S58" s="35"/>
      <c r="T58" s="47"/>
    </row>
    <row r="59" spans="1:20" x14ac:dyDescent="0.6">
      <c r="A59" s="18"/>
      <c r="B59" s="17"/>
      <c r="C59" s="17"/>
      <c r="D59" s="17"/>
      <c r="E59" s="34" t="s">
        <v>47</v>
      </c>
      <c r="F59" s="35"/>
      <c r="G59" s="35"/>
      <c r="H59" s="35"/>
      <c r="I59" s="35"/>
      <c r="J59" s="36"/>
      <c r="K59" s="37" t="s">
        <v>48</v>
      </c>
      <c r="L59" s="38"/>
      <c r="M59" s="34" t="s">
        <v>47</v>
      </c>
      <c r="N59" s="35"/>
      <c r="O59" s="35"/>
      <c r="P59" s="35"/>
      <c r="Q59" s="35"/>
      <c r="R59" s="36"/>
      <c r="S59" s="37" t="s">
        <v>48</v>
      </c>
      <c r="T59" s="41"/>
    </row>
    <row r="60" spans="1:20" x14ac:dyDescent="0.6">
      <c r="A60" s="18"/>
      <c r="B60" s="17"/>
      <c r="C60" s="17"/>
      <c r="D60" s="17"/>
      <c r="E60" s="34" t="s">
        <v>49</v>
      </c>
      <c r="F60" s="36"/>
      <c r="G60" s="34" t="s">
        <v>50</v>
      </c>
      <c r="H60" s="36"/>
      <c r="I60" s="34" t="s">
        <v>51</v>
      </c>
      <c r="J60" s="36"/>
      <c r="K60" s="39"/>
      <c r="L60" s="40"/>
      <c r="M60" s="34" t="s">
        <v>49</v>
      </c>
      <c r="N60" s="36"/>
      <c r="O60" s="34" t="s">
        <v>50</v>
      </c>
      <c r="P60" s="36"/>
      <c r="Q60" s="34" t="s">
        <v>51</v>
      </c>
      <c r="R60" s="36"/>
      <c r="S60" s="39"/>
      <c r="T60" s="42"/>
    </row>
    <row r="61" spans="1:20" x14ac:dyDescent="0.6">
      <c r="A61" s="18"/>
      <c r="B61" s="17"/>
      <c r="C61" s="17"/>
      <c r="D61" s="17"/>
      <c r="E61" s="17" t="s">
        <v>52</v>
      </c>
      <c r="F61" s="17" t="s">
        <v>53</v>
      </c>
      <c r="G61" s="17" t="s">
        <v>52</v>
      </c>
      <c r="H61" s="17" t="s">
        <v>53</v>
      </c>
      <c r="I61" s="17" t="s">
        <v>52</v>
      </c>
      <c r="J61" s="17" t="s">
        <v>53</v>
      </c>
      <c r="K61" s="17" t="s">
        <v>52</v>
      </c>
      <c r="L61" s="17" t="s">
        <v>53</v>
      </c>
      <c r="M61" s="17" t="s">
        <v>52</v>
      </c>
      <c r="N61" s="17" t="s">
        <v>53</v>
      </c>
      <c r="O61" s="17" t="s">
        <v>52</v>
      </c>
      <c r="P61" s="17" t="s">
        <v>53</v>
      </c>
      <c r="Q61" s="17" t="s">
        <v>52</v>
      </c>
      <c r="R61" s="17" t="s">
        <v>53</v>
      </c>
      <c r="S61" s="17" t="s">
        <v>52</v>
      </c>
      <c r="T61" s="19" t="s">
        <v>53</v>
      </c>
    </row>
    <row r="62" spans="1:20" ht="27" customHeight="1" x14ac:dyDescent="0.6">
      <c r="A62" s="24" t="s">
        <v>82</v>
      </c>
      <c r="B62" s="25"/>
      <c r="C62" s="25"/>
      <c r="D62" s="26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2"/>
    </row>
    <row r="63" spans="1:20" ht="27" customHeight="1" x14ac:dyDescent="0.6">
      <c r="A63" s="27" t="s">
        <v>82</v>
      </c>
      <c r="B63" s="30" t="s">
        <v>83</v>
      </c>
      <c r="C63" s="25"/>
      <c r="D63" s="26"/>
      <c r="E63" s="2">
        <v>1418</v>
      </c>
      <c r="F63" s="2">
        <v>5577</v>
      </c>
      <c r="G63" s="3">
        <v>0</v>
      </c>
      <c r="H63" s="3">
        <v>0</v>
      </c>
      <c r="I63" s="3">
        <v>0</v>
      </c>
      <c r="J63" s="3">
        <v>0</v>
      </c>
      <c r="K63" s="2">
        <v>1418</v>
      </c>
      <c r="L63" s="2">
        <v>5577</v>
      </c>
      <c r="M63" s="3">
        <v>-260</v>
      </c>
      <c r="N63" s="3">
        <v>454</v>
      </c>
      <c r="O63" s="2">
        <v>3989</v>
      </c>
      <c r="P63" s="2">
        <v>3782</v>
      </c>
      <c r="Q63" s="3">
        <v>-267</v>
      </c>
      <c r="R63" s="3">
        <v>-628</v>
      </c>
      <c r="S63" s="2">
        <v>3462</v>
      </c>
      <c r="T63" s="4">
        <v>3608</v>
      </c>
    </row>
    <row r="64" spans="1:20" ht="27" customHeight="1" x14ac:dyDescent="0.6">
      <c r="A64" s="28"/>
      <c r="B64" s="30" t="s">
        <v>84</v>
      </c>
      <c r="C64" s="25"/>
      <c r="D64" s="26"/>
      <c r="E64" s="2">
        <v>11425</v>
      </c>
      <c r="F64" s="2">
        <v>30184</v>
      </c>
      <c r="G64" s="3">
        <v>0</v>
      </c>
      <c r="H64" s="3">
        <v>0</v>
      </c>
      <c r="I64" s="3">
        <v>0</v>
      </c>
      <c r="J64" s="3">
        <v>0</v>
      </c>
      <c r="K64" s="2">
        <v>11425</v>
      </c>
      <c r="L64" s="2">
        <v>30184</v>
      </c>
      <c r="M64" s="3">
        <v>0</v>
      </c>
      <c r="N64" s="3">
        <v>0</v>
      </c>
      <c r="O64" s="2">
        <v>3452</v>
      </c>
      <c r="P64" s="2">
        <v>7596</v>
      </c>
      <c r="Q64" s="3">
        <v>46</v>
      </c>
      <c r="R64" s="3">
        <v>94</v>
      </c>
      <c r="S64" s="2">
        <v>3498</v>
      </c>
      <c r="T64" s="4">
        <v>7690</v>
      </c>
    </row>
    <row r="65" spans="1:20" ht="27" customHeight="1" x14ac:dyDescent="0.6">
      <c r="A65" s="28"/>
      <c r="B65" s="31" t="s">
        <v>84</v>
      </c>
      <c r="C65" s="30" t="s">
        <v>85</v>
      </c>
      <c r="D65" s="26"/>
      <c r="E65" s="2">
        <v>10935</v>
      </c>
      <c r="F65" s="2">
        <v>29212</v>
      </c>
      <c r="G65" s="3">
        <v>0</v>
      </c>
      <c r="H65" s="3">
        <v>0</v>
      </c>
      <c r="I65" s="3">
        <v>0</v>
      </c>
      <c r="J65" s="3">
        <v>0</v>
      </c>
      <c r="K65" s="2">
        <v>10935</v>
      </c>
      <c r="L65" s="2">
        <v>29212</v>
      </c>
      <c r="M65" s="3">
        <v>0</v>
      </c>
      <c r="N65" s="3">
        <v>0</v>
      </c>
      <c r="O65" s="2">
        <v>3287</v>
      </c>
      <c r="P65" s="2">
        <v>7299</v>
      </c>
      <c r="Q65" s="3">
        <v>46</v>
      </c>
      <c r="R65" s="3">
        <v>94</v>
      </c>
      <c r="S65" s="2">
        <v>3333</v>
      </c>
      <c r="T65" s="4">
        <v>7393</v>
      </c>
    </row>
    <row r="66" spans="1:20" ht="27" customHeight="1" x14ac:dyDescent="0.6">
      <c r="A66" s="28"/>
      <c r="B66" s="32"/>
      <c r="C66" s="30" t="s">
        <v>86</v>
      </c>
      <c r="D66" s="26"/>
      <c r="E66" s="3">
        <v>490</v>
      </c>
      <c r="F66" s="3">
        <v>972</v>
      </c>
      <c r="G66" s="3">
        <v>0</v>
      </c>
      <c r="H66" s="3">
        <v>0</v>
      </c>
      <c r="I66" s="3">
        <v>0</v>
      </c>
      <c r="J66" s="3">
        <v>0</v>
      </c>
      <c r="K66" s="3">
        <v>490</v>
      </c>
      <c r="L66" s="3">
        <v>972</v>
      </c>
      <c r="M66" s="3">
        <v>0</v>
      </c>
      <c r="N66" s="3">
        <v>0</v>
      </c>
      <c r="O66" s="3">
        <v>165</v>
      </c>
      <c r="P66" s="3">
        <v>297</v>
      </c>
      <c r="Q66" s="3">
        <v>0</v>
      </c>
      <c r="R66" s="3">
        <v>0</v>
      </c>
      <c r="S66" s="3">
        <v>165</v>
      </c>
      <c r="T66" s="7">
        <v>297</v>
      </c>
    </row>
    <row r="67" spans="1:20" ht="54" x14ac:dyDescent="0.6">
      <c r="A67" s="28"/>
      <c r="B67" s="32"/>
      <c r="C67" s="31" t="s">
        <v>86</v>
      </c>
      <c r="D67" s="11" t="s">
        <v>87</v>
      </c>
      <c r="E67" s="3"/>
      <c r="F67" s="3"/>
      <c r="G67" s="3"/>
      <c r="H67" s="3"/>
      <c r="I67" s="3"/>
      <c r="J67" s="3"/>
      <c r="K67" s="3">
        <v>0</v>
      </c>
      <c r="L67" s="3">
        <v>0</v>
      </c>
      <c r="M67" s="3"/>
      <c r="N67" s="3"/>
      <c r="O67" s="3"/>
      <c r="P67" s="3"/>
      <c r="Q67" s="3"/>
      <c r="R67" s="3"/>
      <c r="S67" s="3">
        <v>0</v>
      </c>
      <c r="T67" s="7">
        <v>0</v>
      </c>
    </row>
    <row r="68" spans="1:20" ht="54" x14ac:dyDescent="0.6">
      <c r="A68" s="28"/>
      <c r="B68" s="32"/>
      <c r="C68" s="32"/>
      <c r="D68" s="11" t="s">
        <v>88</v>
      </c>
      <c r="E68" s="3">
        <v>490</v>
      </c>
      <c r="F68" s="3">
        <v>972</v>
      </c>
      <c r="G68" s="3">
        <v>0</v>
      </c>
      <c r="H68" s="3">
        <v>0</v>
      </c>
      <c r="I68" s="3">
        <v>0</v>
      </c>
      <c r="J68" s="3">
        <v>0</v>
      </c>
      <c r="K68" s="3">
        <v>490</v>
      </c>
      <c r="L68" s="3">
        <v>972</v>
      </c>
      <c r="M68" s="3">
        <v>0</v>
      </c>
      <c r="N68" s="3">
        <v>0</v>
      </c>
      <c r="O68" s="3">
        <v>165</v>
      </c>
      <c r="P68" s="3">
        <v>297</v>
      </c>
      <c r="Q68" s="3">
        <v>0</v>
      </c>
      <c r="R68" s="3">
        <v>0</v>
      </c>
      <c r="S68" s="3">
        <v>165</v>
      </c>
      <c r="T68" s="7">
        <v>297</v>
      </c>
    </row>
    <row r="69" spans="1:20" ht="40.5" x14ac:dyDescent="0.6">
      <c r="A69" s="28"/>
      <c r="B69" s="33"/>
      <c r="C69" s="33"/>
      <c r="D69" s="11" t="s">
        <v>89</v>
      </c>
      <c r="E69" s="3"/>
      <c r="F69" s="3"/>
      <c r="G69" s="3"/>
      <c r="H69" s="3"/>
      <c r="I69" s="3"/>
      <c r="J69" s="3"/>
      <c r="K69" s="3">
        <v>0</v>
      </c>
      <c r="L69" s="3">
        <v>0</v>
      </c>
      <c r="M69" s="3"/>
      <c r="N69" s="3"/>
      <c r="O69" s="3"/>
      <c r="P69" s="3"/>
      <c r="Q69" s="3"/>
      <c r="R69" s="3"/>
      <c r="S69" s="3">
        <v>0</v>
      </c>
      <c r="T69" s="7">
        <v>0</v>
      </c>
    </row>
    <row r="70" spans="1:20" ht="27" customHeight="1" x14ac:dyDescent="0.6">
      <c r="A70" s="28"/>
      <c r="B70" s="30" t="s">
        <v>90</v>
      </c>
      <c r="C70" s="25"/>
      <c r="D70" s="26"/>
      <c r="E70" s="3">
        <v>-573</v>
      </c>
      <c r="F70" s="2">
        <v>-1548</v>
      </c>
      <c r="G70" s="3">
        <v>0</v>
      </c>
      <c r="H70" s="3">
        <v>0</v>
      </c>
      <c r="I70" s="3">
        <v>0</v>
      </c>
      <c r="J70" s="3">
        <v>0</v>
      </c>
      <c r="K70" s="3">
        <v>-573</v>
      </c>
      <c r="L70" s="2">
        <v>-1548</v>
      </c>
      <c r="M70" s="3">
        <v>0</v>
      </c>
      <c r="N70" s="3">
        <v>0</v>
      </c>
      <c r="O70" s="3">
        <v>3</v>
      </c>
      <c r="P70" s="3">
        <v>-38</v>
      </c>
      <c r="Q70" s="3">
        <v>0</v>
      </c>
      <c r="R70" s="3">
        <v>0</v>
      </c>
      <c r="S70" s="3">
        <v>3</v>
      </c>
      <c r="T70" s="7">
        <v>-38</v>
      </c>
    </row>
    <row r="71" spans="1:20" x14ac:dyDescent="0.6">
      <c r="A71" s="28"/>
      <c r="B71" s="30" t="s">
        <v>91</v>
      </c>
      <c r="C71" s="25"/>
      <c r="D71" s="26"/>
      <c r="E71" s="2">
        <v>3590</v>
      </c>
      <c r="F71" s="2">
        <v>-3565</v>
      </c>
      <c r="G71" s="3">
        <v>0</v>
      </c>
      <c r="H71" s="3">
        <v>0</v>
      </c>
      <c r="I71" s="3">
        <v>0</v>
      </c>
      <c r="J71" s="3">
        <v>0</v>
      </c>
      <c r="K71" s="2">
        <v>3590</v>
      </c>
      <c r="L71" s="2">
        <v>-3565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7">
        <v>0</v>
      </c>
    </row>
    <row r="72" spans="1:20" x14ac:dyDescent="0.6">
      <c r="A72" s="29"/>
      <c r="B72" s="21" t="s">
        <v>92</v>
      </c>
      <c r="C72" s="22"/>
      <c r="D72" s="23"/>
      <c r="E72" s="5">
        <v>15860</v>
      </c>
      <c r="F72" s="5">
        <v>30648</v>
      </c>
      <c r="G72" s="20">
        <v>0</v>
      </c>
      <c r="H72" s="20">
        <v>0</v>
      </c>
      <c r="I72" s="20">
        <v>0</v>
      </c>
      <c r="J72" s="20">
        <v>0</v>
      </c>
      <c r="K72" s="5">
        <v>15860</v>
      </c>
      <c r="L72" s="5">
        <v>30648</v>
      </c>
      <c r="M72" s="20">
        <v>-260</v>
      </c>
      <c r="N72" s="20">
        <v>454</v>
      </c>
      <c r="O72" s="5">
        <v>7444</v>
      </c>
      <c r="P72" s="5">
        <v>11340</v>
      </c>
      <c r="Q72" s="20">
        <v>-221</v>
      </c>
      <c r="R72" s="20">
        <v>-534</v>
      </c>
      <c r="S72" s="5">
        <v>6963</v>
      </c>
      <c r="T72" s="6">
        <v>11260</v>
      </c>
    </row>
    <row r="73" spans="1:20" x14ac:dyDescent="0.6">
      <c r="A73" s="14"/>
    </row>
    <row r="74" spans="1:20" ht="27" customHeight="1" x14ac:dyDescent="0.6">
      <c r="A74" s="43" t="s">
        <v>93</v>
      </c>
      <c r="B74" s="43"/>
    </row>
    <row r="75" spans="1:20" ht="27" x14ac:dyDescent="0.6">
      <c r="A75" s="14" t="s">
        <v>40</v>
      </c>
      <c r="B75" s="16" t="s">
        <v>41</v>
      </c>
    </row>
    <row r="76" spans="1:20" x14ac:dyDescent="0.6">
      <c r="A76" s="9"/>
      <c r="B76" s="10"/>
      <c r="C76" s="10"/>
      <c r="D76" s="10"/>
      <c r="E76" s="44" t="s">
        <v>42</v>
      </c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6"/>
    </row>
    <row r="77" spans="1:20" x14ac:dyDescent="0.6">
      <c r="A77" s="18"/>
      <c r="B77" s="17"/>
      <c r="C77" s="17"/>
      <c r="D77" s="17"/>
      <c r="E77" s="34" t="s">
        <v>81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47"/>
    </row>
    <row r="78" spans="1:20" x14ac:dyDescent="0.6">
      <c r="A78" s="18"/>
      <c r="B78" s="17"/>
      <c r="C78" s="17"/>
      <c r="D78" s="17"/>
      <c r="E78" s="34" t="s">
        <v>44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47"/>
    </row>
    <row r="79" spans="1:20" x14ac:dyDescent="0.6">
      <c r="A79" s="18"/>
      <c r="B79" s="17"/>
      <c r="C79" s="17"/>
      <c r="D79" s="17"/>
      <c r="E79" s="34" t="s">
        <v>45</v>
      </c>
      <c r="F79" s="35"/>
      <c r="G79" s="35"/>
      <c r="H79" s="35"/>
      <c r="I79" s="35"/>
      <c r="J79" s="35"/>
      <c r="K79" s="35"/>
      <c r="L79" s="36"/>
      <c r="M79" s="34" t="s">
        <v>46</v>
      </c>
      <c r="N79" s="35"/>
      <c r="O79" s="35"/>
      <c r="P79" s="35"/>
      <c r="Q79" s="35"/>
      <c r="R79" s="35"/>
      <c r="S79" s="35"/>
      <c r="T79" s="47"/>
    </row>
    <row r="80" spans="1:20" x14ac:dyDescent="0.6">
      <c r="A80" s="18"/>
      <c r="B80" s="17"/>
      <c r="C80" s="17"/>
      <c r="D80" s="17"/>
      <c r="E80" s="34" t="s">
        <v>47</v>
      </c>
      <c r="F80" s="35"/>
      <c r="G80" s="35"/>
      <c r="H80" s="35"/>
      <c r="I80" s="35"/>
      <c r="J80" s="36"/>
      <c r="K80" s="37" t="s">
        <v>48</v>
      </c>
      <c r="L80" s="38"/>
      <c r="M80" s="34" t="s">
        <v>47</v>
      </c>
      <c r="N80" s="35"/>
      <c r="O80" s="35"/>
      <c r="P80" s="35"/>
      <c r="Q80" s="35"/>
      <c r="R80" s="36"/>
      <c r="S80" s="37" t="s">
        <v>48</v>
      </c>
      <c r="T80" s="41"/>
    </row>
    <row r="81" spans="1:20" x14ac:dyDescent="0.6">
      <c r="A81" s="18"/>
      <c r="B81" s="17"/>
      <c r="C81" s="17"/>
      <c r="D81" s="17"/>
      <c r="E81" s="34" t="s">
        <v>49</v>
      </c>
      <c r="F81" s="36"/>
      <c r="G81" s="34" t="s">
        <v>50</v>
      </c>
      <c r="H81" s="36"/>
      <c r="I81" s="34" t="s">
        <v>51</v>
      </c>
      <c r="J81" s="36"/>
      <c r="K81" s="39"/>
      <c r="L81" s="40"/>
      <c r="M81" s="34" t="s">
        <v>49</v>
      </c>
      <c r="N81" s="36"/>
      <c r="O81" s="34" t="s">
        <v>50</v>
      </c>
      <c r="P81" s="36"/>
      <c r="Q81" s="34" t="s">
        <v>51</v>
      </c>
      <c r="R81" s="36"/>
      <c r="S81" s="39"/>
      <c r="T81" s="42"/>
    </row>
    <row r="82" spans="1:20" x14ac:dyDescent="0.6">
      <c r="A82" s="18"/>
      <c r="B82" s="17"/>
      <c r="C82" s="17"/>
      <c r="D82" s="17"/>
      <c r="E82" s="17" t="s">
        <v>52</v>
      </c>
      <c r="F82" s="17" t="s">
        <v>53</v>
      </c>
      <c r="G82" s="17" t="s">
        <v>52</v>
      </c>
      <c r="H82" s="17" t="s">
        <v>53</v>
      </c>
      <c r="I82" s="17" t="s">
        <v>52</v>
      </c>
      <c r="J82" s="17" t="s">
        <v>53</v>
      </c>
      <c r="K82" s="17" t="s">
        <v>52</v>
      </c>
      <c r="L82" s="17" t="s">
        <v>53</v>
      </c>
      <c r="M82" s="17" t="s">
        <v>52</v>
      </c>
      <c r="N82" s="17" t="s">
        <v>53</v>
      </c>
      <c r="O82" s="17" t="s">
        <v>52</v>
      </c>
      <c r="P82" s="17" t="s">
        <v>53</v>
      </c>
      <c r="Q82" s="17" t="s">
        <v>52</v>
      </c>
      <c r="R82" s="17" t="s">
        <v>53</v>
      </c>
      <c r="S82" s="17" t="s">
        <v>52</v>
      </c>
      <c r="T82" s="19" t="s">
        <v>53</v>
      </c>
    </row>
    <row r="83" spans="1:20" ht="27" customHeight="1" x14ac:dyDescent="0.6">
      <c r="A83" s="24" t="s">
        <v>94</v>
      </c>
      <c r="B83" s="25"/>
      <c r="C83" s="25"/>
      <c r="D83" s="26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2"/>
    </row>
    <row r="84" spans="1:20" ht="27" customHeight="1" x14ac:dyDescent="0.6">
      <c r="A84" s="27" t="s">
        <v>94</v>
      </c>
      <c r="B84" s="30" t="s">
        <v>95</v>
      </c>
      <c r="C84" s="25"/>
      <c r="D84" s="26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2"/>
    </row>
    <row r="85" spans="1:20" ht="40.5" customHeight="1" x14ac:dyDescent="0.6">
      <c r="A85" s="28"/>
      <c r="B85" s="31" t="s">
        <v>95</v>
      </c>
      <c r="C85" s="30" t="s">
        <v>96</v>
      </c>
      <c r="D85" s="26"/>
      <c r="E85" s="2">
        <v>11040</v>
      </c>
      <c r="F85" s="2">
        <v>21146</v>
      </c>
      <c r="G85" s="3">
        <v>0</v>
      </c>
      <c r="H85" s="3">
        <v>0</v>
      </c>
      <c r="I85" s="3">
        <v>0</v>
      </c>
      <c r="J85" s="3">
        <v>0</v>
      </c>
      <c r="K85" s="2">
        <v>11040</v>
      </c>
      <c r="L85" s="2">
        <v>21146</v>
      </c>
      <c r="M85" s="3"/>
      <c r="N85" s="3"/>
      <c r="O85" s="3"/>
      <c r="P85" s="3"/>
      <c r="Q85" s="3"/>
      <c r="R85" s="3"/>
      <c r="S85" s="3">
        <v>0</v>
      </c>
      <c r="T85" s="7">
        <v>0</v>
      </c>
    </row>
    <row r="86" spans="1:20" ht="54" customHeight="1" x14ac:dyDescent="0.6">
      <c r="A86" s="28"/>
      <c r="B86" s="32"/>
      <c r="C86" s="30" t="s">
        <v>97</v>
      </c>
      <c r="D86" s="26"/>
      <c r="E86" s="2">
        <v>15759</v>
      </c>
      <c r="F86" s="2">
        <v>31430</v>
      </c>
      <c r="G86" s="3">
        <v>0</v>
      </c>
      <c r="H86" s="3">
        <v>0</v>
      </c>
      <c r="I86" s="3">
        <v>0</v>
      </c>
      <c r="J86" s="3">
        <v>0</v>
      </c>
      <c r="K86" s="2">
        <v>15759</v>
      </c>
      <c r="L86" s="2">
        <v>31430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7">
        <v>0</v>
      </c>
    </row>
    <row r="87" spans="1:20" ht="81" x14ac:dyDescent="0.6">
      <c r="A87" s="28"/>
      <c r="B87" s="32"/>
      <c r="C87" s="31" t="s">
        <v>97</v>
      </c>
      <c r="D87" s="11" t="s">
        <v>98</v>
      </c>
      <c r="E87" s="2">
        <v>15355</v>
      </c>
      <c r="F87" s="2">
        <v>30586</v>
      </c>
      <c r="G87" s="3">
        <v>0</v>
      </c>
      <c r="H87" s="3">
        <v>0</v>
      </c>
      <c r="I87" s="3">
        <v>0</v>
      </c>
      <c r="J87" s="3">
        <v>0</v>
      </c>
      <c r="K87" s="2">
        <v>15355</v>
      </c>
      <c r="L87" s="2">
        <v>30586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7">
        <v>0</v>
      </c>
    </row>
    <row r="88" spans="1:20" ht="94.5" x14ac:dyDescent="0.6">
      <c r="A88" s="28"/>
      <c r="B88" s="32"/>
      <c r="C88" s="33"/>
      <c r="D88" s="11" t="s">
        <v>99</v>
      </c>
      <c r="E88" s="3">
        <v>404</v>
      </c>
      <c r="F88" s="3">
        <v>844</v>
      </c>
      <c r="G88" s="3">
        <v>0</v>
      </c>
      <c r="H88" s="3">
        <v>0</v>
      </c>
      <c r="I88" s="3">
        <v>0</v>
      </c>
      <c r="J88" s="3">
        <v>0</v>
      </c>
      <c r="K88" s="3">
        <v>404</v>
      </c>
      <c r="L88" s="3">
        <v>844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7">
        <v>0</v>
      </c>
    </row>
    <row r="89" spans="1:20" ht="40.5" customHeight="1" x14ac:dyDescent="0.6">
      <c r="A89" s="28"/>
      <c r="B89" s="32"/>
      <c r="C89" s="30" t="s">
        <v>100</v>
      </c>
      <c r="D89" s="26"/>
      <c r="E89" s="3">
        <v>447</v>
      </c>
      <c r="F89" s="2">
        <v>1001</v>
      </c>
      <c r="G89" s="3">
        <v>0</v>
      </c>
      <c r="H89" s="3">
        <v>0</v>
      </c>
      <c r="I89" s="3">
        <v>0</v>
      </c>
      <c r="J89" s="3">
        <v>0</v>
      </c>
      <c r="K89" s="3">
        <v>447</v>
      </c>
      <c r="L89" s="2">
        <v>1001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7">
        <v>0</v>
      </c>
    </row>
    <row r="90" spans="1:20" ht="54" customHeight="1" x14ac:dyDescent="0.6">
      <c r="A90" s="28"/>
      <c r="B90" s="32"/>
      <c r="C90" s="30" t="s">
        <v>101</v>
      </c>
      <c r="D90" s="26"/>
      <c r="E90" s="2">
        <v>-5355</v>
      </c>
      <c r="F90" s="2">
        <v>-11592</v>
      </c>
      <c r="G90" s="3">
        <v>0</v>
      </c>
      <c r="H90" s="3">
        <v>0</v>
      </c>
      <c r="I90" s="3">
        <v>0</v>
      </c>
      <c r="J90" s="3">
        <v>0</v>
      </c>
      <c r="K90" s="2">
        <v>-5355</v>
      </c>
      <c r="L90" s="2">
        <v>-11592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7">
        <v>0</v>
      </c>
    </row>
    <row r="91" spans="1:20" ht="27" customHeight="1" x14ac:dyDescent="0.6">
      <c r="A91" s="28"/>
      <c r="B91" s="33"/>
      <c r="C91" s="30" t="s">
        <v>102</v>
      </c>
      <c r="D91" s="26"/>
      <c r="E91" s="3">
        <v>189</v>
      </c>
      <c r="F91" s="3">
        <v>307</v>
      </c>
      <c r="G91" s="3">
        <v>0</v>
      </c>
      <c r="H91" s="3">
        <v>0</v>
      </c>
      <c r="I91" s="3">
        <v>0</v>
      </c>
      <c r="J91" s="3">
        <v>0</v>
      </c>
      <c r="K91" s="3">
        <v>189</v>
      </c>
      <c r="L91" s="3">
        <v>307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7">
        <v>0</v>
      </c>
    </row>
    <row r="92" spans="1:20" x14ac:dyDescent="0.6">
      <c r="A92" s="29"/>
      <c r="B92" s="21" t="s">
        <v>103</v>
      </c>
      <c r="C92" s="22"/>
      <c r="D92" s="23"/>
      <c r="E92" s="5">
        <v>11040</v>
      </c>
      <c r="F92" s="5">
        <v>21146</v>
      </c>
      <c r="G92" s="20">
        <v>0</v>
      </c>
      <c r="H92" s="20">
        <v>0</v>
      </c>
      <c r="I92" s="20">
        <v>0</v>
      </c>
      <c r="J92" s="20">
        <v>0</v>
      </c>
      <c r="K92" s="5">
        <v>11040</v>
      </c>
      <c r="L92" s="5">
        <v>21146</v>
      </c>
      <c r="M92" s="20">
        <v>610</v>
      </c>
      <c r="N92" s="5">
        <v>1222</v>
      </c>
      <c r="O92" s="5">
        <v>17630</v>
      </c>
      <c r="P92" s="5">
        <v>34375</v>
      </c>
      <c r="Q92" s="20">
        <v>100</v>
      </c>
      <c r="R92" s="20">
        <v>195</v>
      </c>
      <c r="S92" s="5">
        <v>18340</v>
      </c>
      <c r="T92" s="6">
        <v>35792</v>
      </c>
    </row>
    <row r="93" spans="1:20" x14ac:dyDescent="0.6">
      <c r="A93" s="14"/>
    </row>
    <row r="94" spans="1:20" x14ac:dyDescent="0.6">
      <c r="A94" s="14"/>
    </row>
    <row r="95" spans="1:20" x14ac:dyDescent="0.6">
      <c r="A95" s="14"/>
    </row>
  </sheetData>
  <mergeCells count="111">
    <mergeCell ref="A5:B5"/>
    <mergeCell ref="F7:U7"/>
    <mergeCell ref="F8:U8"/>
    <mergeCell ref="F9:U9"/>
    <mergeCell ref="F10:M10"/>
    <mergeCell ref="N10:U10"/>
    <mergeCell ref="F11:K11"/>
    <mergeCell ref="L11:M12"/>
    <mergeCell ref="N11:S11"/>
    <mergeCell ref="T11:U12"/>
    <mergeCell ref="F12:G12"/>
    <mergeCell ref="H12:I12"/>
    <mergeCell ref="J12:K12"/>
    <mergeCell ref="N12:O12"/>
    <mergeCell ref="P12:Q12"/>
    <mergeCell ref="R12:S12"/>
    <mergeCell ref="A14:E14"/>
    <mergeCell ref="A15:A26"/>
    <mergeCell ref="B15:E15"/>
    <mergeCell ref="B16:B24"/>
    <mergeCell ref="C16:E16"/>
    <mergeCell ref="C17:E17"/>
    <mergeCell ref="C18:C22"/>
    <mergeCell ref="D18:E18"/>
    <mergeCell ref="D19:E19"/>
    <mergeCell ref="D20:D22"/>
    <mergeCell ref="A28:B28"/>
    <mergeCell ref="E30:T30"/>
    <mergeCell ref="E31:T31"/>
    <mergeCell ref="E32:T32"/>
    <mergeCell ref="E33:L33"/>
    <mergeCell ref="M33:T33"/>
    <mergeCell ref="C23:E23"/>
    <mergeCell ref="C24:E24"/>
    <mergeCell ref="B25:E25"/>
    <mergeCell ref="B26:E26"/>
    <mergeCell ref="E34:J34"/>
    <mergeCell ref="K34:L35"/>
    <mergeCell ref="M34:R34"/>
    <mergeCell ref="S34:T35"/>
    <mergeCell ref="E35:F35"/>
    <mergeCell ref="G35:H35"/>
    <mergeCell ref="I35:J35"/>
    <mergeCell ref="M35:N35"/>
    <mergeCell ref="O35:P35"/>
    <mergeCell ref="Q35:R35"/>
    <mergeCell ref="B47:D47"/>
    <mergeCell ref="A37:D37"/>
    <mergeCell ref="A38:A47"/>
    <mergeCell ref="B38:D38"/>
    <mergeCell ref="B39:B43"/>
    <mergeCell ref="C39:D39"/>
    <mergeCell ref="C40:D40"/>
    <mergeCell ref="C41:C43"/>
    <mergeCell ref="B44:D44"/>
    <mergeCell ref="B45:D45"/>
    <mergeCell ref="B46:D46"/>
    <mergeCell ref="S59:T60"/>
    <mergeCell ref="E60:F60"/>
    <mergeCell ref="G60:H60"/>
    <mergeCell ref="I60:J60"/>
    <mergeCell ref="M60:N60"/>
    <mergeCell ref="O60:P60"/>
    <mergeCell ref="Q60:R60"/>
    <mergeCell ref="A53:B53"/>
    <mergeCell ref="E55:T55"/>
    <mergeCell ref="E56:T56"/>
    <mergeCell ref="E57:T57"/>
    <mergeCell ref="E58:L58"/>
    <mergeCell ref="M58:T58"/>
    <mergeCell ref="E59:J59"/>
    <mergeCell ref="K59:L60"/>
    <mergeCell ref="M59:R59"/>
    <mergeCell ref="A74:B74"/>
    <mergeCell ref="E76:T76"/>
    <mergeCell ref="E77:T77"/>
    <mergeCell ref="E78:T78"/>
    <mergeCell ref="E79:L79"/>
    <mergeCell ref="M79:T79"/>
    <mergeCell ref="A62:D62"/>
    <mergeCell ref="A63:A72"/>
    <mergeCell ref="B63:D63"/>
    <mergeCell ref="B65:B69"/>
    <mergeCell ref="C65:D65"/>
    <mergeCell ref="C66:D66"/>
    <mergeCell ref="C67:C69"/>
    <mergeCell ref="B70:D70"/>
    <mergeCell ref="B71:D71"/>
    <mergeCell ref="B72:D72"/>
    <mergeCell ref="B64:D64"/>
    <mergeCell ref="E80:J80"/>
    <mergeCell ref="K80:L81"/>
    <mergeCell ref="M80:R80"/>
    <mergeCell ref="S80:T81"/>
    <mergeCell ref="E81:F81"/>
    <mergeCell ref="G81:H81"/>
    <mergeCell ref="I81:J81"/>
    <mergeCell ref="M81:N81"/>
    <mergeCell ref="O81:P81"/>
    <mergeCell ref="Q81:R81"/>
    <mergeCell ref="B92:D92"/>
    <mergeCell ref="A83:D83"/>
    <mergeCell ref="A84:A92"/>
    <mergeCell ref="B84:D84"/>
    <mergeCell ref="B85:B91"/>
    <mergeCell ref="C85:D85"/>
    <mergeCell ref="C86:D86"/>
    <mergeCell ref="C87:C88"/>
    <mergeCell ref="C89:D89"/>
    <mergeCell ref="C90:D90"/>
    <mergeCell ref="C91:D9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2026-06-06T07:40:00Z</dcterms:modified>
</cp:coreProperties>
</file>