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gwook.cho\Desktop\insurequant\"/>
    </mc:Choice>
  </mc:AlternateContent>
  <xr:revisionPtr revIDLastSave="0" documentId="13_ncr:1_{E2B8896A-3F76-4308-BD02-12C0B9007535}" xr6:coauthVersionLast="47" xr6:coauthVersionMax="47" xr10:uidLastSave="{00000000-0000-0000-0000-000000000000}"/>
  <bookViews>
    <workbookView xWindow="-83" yWindow="0" windowWidth="10965" windowHeight="12863" xr2:uid="{3CD259B9-5A78-42E0-B669-107C3DC53255}"/>
  </bookViews>
  <sheets>
    <sheet name="Sheet2" sheetId="2" r:id="rId1"/>
    <sheet name="부문별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7" i="2" l="1"/>
  <c r="H6" i="2"/>
  <c r="H4" i="2"/>
  <c r="H3" i="2"/>
  <c r="H2" i="2"/>
  <c r="H5" i="2" l="1"/>
</calcChain>
</file>

<file path=xl/sharedStrings.xml><?xml version="1.0" encoding="utf-8"?>
<sst xmlns="http://schemas.openxmlformats.org/spreadsheetml/2006/main" count="87" uniqueCount="49">
  <si>
    <t>원보험사코드</t>
  </si>
  <si>
    <t>원수사명</t>
  </si>
  <si>
    <t>티커</t>
  </si>
  <si>
    <t>생손보여부</t>
  </si>
  <si>
    <t>항목번호</t>
  </si>
  <si>
    <t>항목명</t>
  </si>
  <si>
    <t>공시분기</t>
  </si>
  <si>
    <t>값</t>
  </si>
  <si>
    <t>손해보험</t>
  </si>
  <si>
    <t>기초 CSM</t>
    <phoneticPr fontId="2" type="noConversion"/>
  </si>
  <si>
    <t>신계약 CSM</t>
    <phoneticPr fontId="2" type="noConversion"/>
  </si>
  <si>
    <t>이자 부리</t>
    <phoneticPr fontId="2" type="noConversion"/>
  </si>
  <si>
    <t>CSM 상각</t>
    <phoneticPr fontId="2" type="noConversion"/>
  </si>
  <si>
    <t>기말 CSM</t>
    <phoneticPr fontId="2" type="noConversion"/>
  </si>
  <si>
    <t>보험계약마진</t>
  </si>
  <si>
    <t>가정 및 경험 조정 등</t>
    <phoneticPr fontId="2" type="noConversion"/>
  </si>
  <si>
    <t>(3) 보험료배분접근법을 적용하지 않는 순보험계약부채 및 순재보험계약자산의 구성요소별 변동내역</t>
  </si>
  <si>
    <t>1) 당반기와 전반기의 보험료배분접근법을 적용하지 않는 순보험계약부채의 구성요소별 변동내역은 다음과 같습니다(단위:백만원)</t>
  </si>
  <si>
    <t>&lt;당반기&gt;</t>
  </si>
  <si>
    <t>구분</t>
  </si>
  <si>
    <t>미래 현금흐름의</t>
  </si>
  <si>
    <t>현재가치 추정치</t>
  </si>
  <si>
    <t>비금융위험에 대한</t>
  </si>
  <si>
    <t>위험조정</t>
  </si>
  <si>
    <t>합계</t>
  </si>
  <si>
    <t>기초 순장부금액</t>
  </si>
  <si>
    <t>미래서비스관련 변동</t>
  </si>
  <si>
    <t> 보험계약마진을 조정하는 추정치 변동</t>
  </si>
  <si>
    <t>-</t>
  </si>
  <si>
    <t> 손실부담계약의 손실 및 환입</t>
  </si>
  <si>
    <t> 신계약 인식효과</t>
  </si>
  <si>
    <t>당기서비스관련 변동</t>
  </si>
  <si>
    <t> 보험계약마진 상각</t>
  </si>
  <si>
    <t> 위험해제에 따른 위험조정 변동</t>
  </si>
  <si>
    <t> 경험조정</t>
  </si>
  <si>
    <t>과거서비스관련 변동</t>
  </si>
  <si>
    <t> 발생사고의 이행현금흐름 변동</t>
  </si>
  <si>
    <t>보험서비스결과 계</t>
  </si>
  <si>
    <t>보험금융손익</t>
  </si>
  <si>
    <t>현금흐름</t>
  </si>
  <si>
    <t> 수취한 보험료</t>
  </si>
  <si>
    <t> 보험취득현금흐름</t>
  </si>
  <si>
    <t> 지급한 보험금 및 보험서비스비용</t>
  </si>
  <si>
    <t>총 현금흐름</t>
  </si>
  <si>
    <t>기타 항목</t>
  </si>
  <si>
    <t>반기말 순장부금액</t>
  </si>
  <si>
    <t>KR0010</t>
    <phoneticPr fontId="2" type="noConversion"/>
  </si>
  <si>
    <t>KB손해보험</t>
    <phoneticPr fontId="2" type="noConversion"/>
  </si>
  <si>
    <t>2025.2Q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</si>
</sst>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굴림"/>
      <family val="3"/>
      <charset val="129"/>
    </font>
    <font>
      <sz val="8"/>
      <name val="맑은 고딕"/>
      <family val="2"/>
      <charset val="129"/>
      <scheme val="minor"/>
    </font>
    <font>
      <sz val="6"/>
      <color rgb="FF000000"/>
      <name val="바탕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1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00000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000000"/>
      </right>
      <top/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/>
      <diagonal/>
    </border>
    <border>
      <left style="thin">
        <color rgb="FF80808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right" vertical="center" wrapText="1"/>
    </xf>
    <xf numFmtId="3" fontId="1" fillId="0" borderId="1" xfId="0" applyNumberFormat="1" applyFont="1" applyBorder="1" applyAlignment="1">
      <alignment horizontal="right" vertical="center" wrapText="1"/>
    </xf>
    <xf numFmtId="0" fontId="1" fillId="0" borderId="6" xfId="0" applyFont="1" applyBorder="1" applyAlignment="1">
      <alignment horizontal="right" vertical="center" wrapText="1"/>
    </xf>
    <xf numFmtId="3" fontId="1" fillId="0" borderId="6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3" fontId="1" fillId="0" borderId="7" xfId="0" applyNumberFormat="1" applyFont="1" applyBorder="1" applyAlignment="1">
      <alignment horizontal="right" vertical="center" wrapText="1"/>
    </xf>
    <xf numFmtId="3" fontId="1" fillId="0" borderId="8" xfId="0" applyNumberFormat="1" applyFont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D3D4-06E9-4F60-881F-A872FA311F9A}">
  <dimension ref="A1:J25"/>
  <sheetViews>
    <sheetView tabSelected="1" topLeftCell="D1" zoomScale="120" workbookViewId="0">
      <selection activeCell="F11" sqref="F11"/>
    </sheetView>
  </sheetViews>
  <sheetFormatPr defaultRowHeight="16.899999999999999" x14ac:dyDescent="0.6"/>
  <cols>
    <col min="8" max="8" width="15.1875" bestFit="1" customWidth="1"/>
    <col min="10" max="10" width="9.75" bestFit="1" customWidth="1"/>
  </cols>
  <sheetData>
    <row r="1" spans="1:10" x14ac:dyDescent="0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</row>
    <row r="2" spans="1:10" x14ac:dyDescent="0.6">
      <c r="A2" s="2" t="s">
        <v>46</v>
      </c>
      <c r="B2" s="2" t="s">
        <v>47</v>
      </c>
      <c r="C2" s="2"/>
      <c r="D2" s="2" t="s">
        <v>8</v>
      </c>
      <c r="E2" s="2">
        <v>1</v>
      </c>
      <c r="F2" s="2" t="s">
        <v>9</v>
      </c>
      <c r="G2" s="2" t="s">
        <v>48</v>
      </c>
      <c r="H2" s="1">
        <f>부문별!D8</f>
        <v>8820482</v>
      </c>
      <c r="J2" s="1"/>
    </row>
    <row r="3" spans="1:10" x14ac:dyDescent="0.6">
      <c r="A3" s="2" t="s">
        <v>46</v>
      </c>
      <c r="B3" s="2" t="s">
        <v>47</v>
      </c>
      <c r="C3" s="2"/>
      <c r="D3" s="2" t="s">
        <v>8</v>
      </c>
      <c r="E3" s="2">
        <v>2</v>
      </c>
      <c r="F3" s="2" t="s">
        <v>10</v>
      </c>
      <c r="G3" s="2" t="s">
        <v>48</v>
      </c>
      <c r="H3" s="1">
        <f>부문별!D12</f>
        <v>814226</v>
      </c>
      <c r="J3" s="1"/>
    </row>
    <row r="4" spans="1:10" x14ac:dyDescent="0.6">
      <c r="A4" s="2" t="s">
        <v>46</v>
      </c>
      <c r="B4" s="2" t="s">
        <v>47</v>
      </c>
      <c r="C4" s="2"/>
      <c r="D4" s="2" t="s">
        <v>8</v>
      </c>
      <c r="E4">
        <v>3</v>
      </c>
      <c r="F4" s="2" t="s">
        <v>11</v>
      </c>
      <c r="G4" t="s">
        <v>48</v>
      </c>
      <c r="H4" s="1">
        <f>부문별!D20</f>
        <v>162352</v>
      </c>
      <c r="J4" s="1"/>
    </row>
    <row r="5" spans="1:10" x14ac:dyDescent="0.6">
      <c r="A5" s="2" t="s">
        <v>46</v>
      </c>
      <c r="B5" s="2" t="s">
        <v>47</v>
      </c>
      <c r="C5" s="2"/>
      <c r="D5" s="2" t="s">
        <v>8</v>
      </c>
      <c r="E5" s="2">
        <v>4</v>
      </c>
      <c r="F5" s="2" t="s">
        <v>15</v>
      </c>
      <c r="G5" t="s">
        <v>48</v>
      </c>
      <c r="H5" s="1">
        <f>H7-H6-SUM(H2:H4)</f>
        <v>-155484</v>
      </c>
      <c r="J5" s="1"/>
    </row>
    <row r="6" spans="1:10" x14ac:dyDescent="0.6">
      <c r="A6" s="2" t="s">
        <v>46</v>
      </c>
      <c r="B6" s="2" t="s">
        <v>47</v>
      </c>
      <c r="C6" s="2"/>
      <c r="D6" s="2" t="s">
        <v>8</v>
      </c>
      <c r="E6" s="2">
        <v>5</v>
      </c>
      <c r="F6" s="2" t="s">
        <v>12</v>
      </c>
      <c r="G6" t="s">
        <v>48</v>
      </c>
      <c r="H6" s="1">
        <f>부문별!D14</f>
        <v>-423962</v>
      </c>
      <c r="J6" s="1"/>
    </row>
    <row r="7" spans="1:10" x14ac:dyDescent="0.6">
      <c r="A7" s="2" t="s">
        <v>46</v>
      </c>
      <c r="B7" s="2" t="s">
        <v>47</v>
      </c>
      <c r="C7" s="2"/>
      <c r="D7" s="2" t="s">
        <v>8</v>
      </c>
      <c r="E7" s="2">
        <v>6</v>
      </c>
      <c r="F7" s="2" t="s">
        <v>13</v>
      </c>
      <c r="G7" t="s">
        <v>48</v>
      </c>
      <c r="H7" s="1">
        <f>부문별!D27</f>
        <v>9217614</v>
      </c>
      <c r="J7" s="1"/>
    </row>
    <row r="8" spans="1:10" x14ac:dyDescent="0.6">
      <c r="A8" s="2"/>
      <c r="B8" s="2"/>
      <c r="C8" s="2"/>
      <c r="D8" s="2"/>
      <c r="H8" s="1"/>
    </row>
    <row r="9" spans="1:10" x14ac:dyDescent="0.6">
      <c r="A9" s="2"/>
      <c r="B9" s="2"/>
      <c r="C9" s="2"/>
      <c r="D9" s="2"/>
      <c r="H9" s="1"/>
    </row>
    <row r="10" spans="1:10" x14ac:dyDescent="0.6">
      <c r="A10" s="2"/>
      <c r="B10" s="2"/>
      <c r="C10" s="2"/>
      <c r="D10" s="2"/>
      <c r="H10" s="1"/>
    </row>
    <row r="11" spans="1:10" x14ac:dyDescent="0.6">
      <c r="A11" s="2"/>
      <c r="B11" s="2"/>
      <c r="C11" s="2"/>
      <c r="D11" s="2"/>
      <c r="H11" s="1"/>
    </row>
    <row r="12" spans="1:10" x14ac:dyDescent="0.6">
      <c r="A12" s="2"/>
      <c r="B12" s="2"/>
      <c r="C12" s="2"/>
      <c r="D12" s="2"/>
      <c r="H12" s="1"/>
    </row>
    <row r="13" spans="1:10" x14ac:dyDescent="0.6">
      <c r="A13" s="2"/>
      <c r="B13" s="2"/>
      <c r="C13" s="2"/>
      <c r="D13" s="2"/>
      <c r="H13" s="1"/>
    </row>
    <row r="14" spans="1:10" x14ac:dyDescent="0.6">
      <c r="A14" s="2"/>
      <c r="B14" s="2"/>
      <c r="C14" s="2"/>
      <c r="D14" s="2"/>
      <c r="H14" s="1"/>
    </row>
    <row r="15" spans="1:10" x14ac:dyDescent="0.6">
      <c r="A15" s="2"/>
      <c r="B15" s="2"/>
      <c r="C15" s="2"/>
      <c r="D15" s="2"/>
      <c r="H15" s="1"/>
    </row>
    <row r="16" spans="1:10" x14ac:dyDescent="0.6">
      <c r="A16" s="2"/>
      <c r="B16" s="2"/>
      <c r="C16" s="2"/>
      <c r="D16" s="2"/>
    </row>
    <row r="17" spans="1:8" x14ac:dyDescent="0.6">
      <c r="A17" s="2"/>
      <c r="B17" s="2"/>
      <c r="C17" s="2"/>
      <c r="D17" s="2"/>
      <c r="H17" s="1"/>
    </row>
    <row r="18" spans="1:8" x14ac:dyDescent="0.6">
      <c r="A18" s="2"/>
      <c r="B18" s="2"/>
      <c r="C18" s="2"/>
      <c r="D18" s="2"/>
      <c r="H18" s="1"/>
    </row>
    <row r="25" spans="1:8" x14ac:dyDescent="0.6">
      <c r="H25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6A147-F3E2-47B5-86FD-2BD8F9A1B18F}">
  <dimension ref="A1:E81"/>
  <sheetViews>
    <sheetView topLeftCell="A7" zoomScale="88" zoomScaleNormal="50" workbookViewId="0">
      <selection activeCell="D14" sqref="D14"/>
    </sheetView>
  </sheetViews>
  <sheetFormatPr defaultRowHeight="16.899999999999999" x14ac:dyDescent="0.6"/>
  <cols>
    <col min="2" max="2" width="11.0625" bestFit="1" customWidth="1"/>
    <col min="3" max="4" width="9.875" bestFit="1" customWidth="1"/>
    <col min="5" max="5" width="11.0625" bestFit="1" customWidth="1"/>
  </cols>
  <sheetData>
    <row r="1" spans="1:5" ht="42.75" x14ac:dyDescent="0.6">
      <c r="A1" s="15" t="s">
        <v>16</v>
      </c>
    </row>
    <row r="2" spans="1:5" ht="54" customHeight="1" x14ac:dyDescent="0.6">
      <c r="A2" s="14"/>
    </row>
    <row r="3" spans="1:5" ht="57" x14ac:dyDescent="0.6">
      <c r="A3" s="15" t="s">
        <v>17</v>
      </c>
    </row>
    <row r="4" spans="1:5" x14ac:dyDescent="0.6">
      <c r="A4" s="14"/>
    </row>
    <row r="5" spans="1:5" x14ac:dyDescent="0.6">
      <c r="A5" s="15" t="s">
        <v>18</v>
      </c>
    </row>
    <row r="6" spans="1:5" ht="27" x14ac:dyDescent="0.6">
      <c r="A6" s="19" t="s">
        <v>19</v>
      </c>
      <c r="B6" s="16" t="s">
        <v>20</v>
      </c>
      <c r="C6" s="16" t="s">
        <v>22</v>
      </c>
      <c r="D6" s="21" t="s">
        <v>14</v>
      </c>
      <c r="E6" s="22" t="s">
        <v>24</v>
      </c>
    </row>
    <row r="7" spans="1:5" ht="27" x14ac:dyDescent="0.6">
      <c r="A7" s="20"/>
      <c r="B7" s="8" t="s">
        <v>21</v>
      </c>
      <c r="C7" s="8" t="s">
        <v>23</v>
      </c>
      <c r="D7" s="12"/>
      <c r="E7" s="13"/>
    </row>
    <row r="8" spans="1:5" ht="27" x14ac:dyDescent="0.6">
      <c r="A8" s="17" t="s">
        <v>25</v>
      </c>
      <c r="B8" s="4">
        <v>12299435</v>
      </c>
      <c r="C8" s="4">
        <v>1457142</v>
      </c>
      <c r="D8" s="4">
        <v>8820482</v>
      </c>
      <c r="E8" s="6">
        <v>22577059</v>
      </c>
    </row>
    <row r="9" spans="1:5" ht="40.5" x14ac:dyDescent="0.6">
      <c r="A9" s="17" t="s">
        <v>26</v>
      </c>
      <c r="B9" s="7"/>
      <c r="C9" s="7"/>
      <c r="D9" s="7"/>
      <c r="E9" s="9"/>
    </row>
    <row r="10" spans="1:5" ht="54" x14ac:dyDescent="0.6">
      <c r="A10" s="17" t="s">
        <v>27</v>
      </c>
      <c r="B10" s="4">
        <v>141584</v>
      </c>
      <c r="C10" s="4">
        <v>13900</v>
      </c>
      <c r="D10" s="4">
        <v>-155484</v>
      </c>
      <c r="E10" s="5" t="s">
        <v>28</v>
      </c>
    </row>
    <row r="11" spans="1:5" ht="54" x14ac:dyDescent="0.6">
      <c r="A11" s="17" t="s">
        <v>29</v>
      </c>
      <c r="B11" s="4">
        <v>-25720</v>
      </c>
      <c r="C11" s="4">
        <v>-3604</v>
      </c>
      <c r="D11" s="3" t="s">
        <v>28</v>
      </c>
      <c r="E11" s="6">
        <v>-29324</v>
      </c>
    </row>
    <row r="12" spans="1:5" ht="27" x14ac:dyDescent="0.6">
      <c r="A12" s="17" t="s">
        <v>30</v>
      </c>
      <c r="B12" s="4">
        <v>-915457</v>
      </c>
      <c r="C12" s="4">
        <v>123801</v>
      </c>
      <c r="D12" s="4">
        <v>814226</v>
      </c>
      <c r="E12" s="6">
        <v>22570</v>
      </c>
    </row>
    <row r="13" spans="1:5" ht="40.5" x14ac:dyDescent="0.6">
      <c r="A13" s="17" t="s">
        <v>31</v>
      </c>
      <c r="B13" s="7"/>
      <c r="C13" s="7"/>
      <c r="D13" s="7"/>
      <c r="E13" s="9"/>
    </row>
    <row r="14" spans="1:5" ht="27" x14ac:dyDescent="0.6">
      <c r="A14" s="17" t="s">
        <v>32</v>
      </c>
      <c r="B14" s="3" t="s">
        <v>28</v>
      </c>
      <c r="C14" s="3" t="s">
        <v>28</v>
      </c>
      <c r="D14" s="4">
        <v>-423962</v>
      </c>
      <c r="E14" s="6">
        <v>-423962</v>
      </c>
    </row>
    <row r="15" spans="1:5" ht="27" customHeight="1" x14ac:dyDescent="0.6">
      <c r="A15" s="17" t="s">
        <v>33</v>
      </c>
      <c r="B15" s="3" t="s">
        <v>28</v>
      </c>
      <c r="C15" s="4">
        <v>-86183</v>
      </c>
      <c r="D15" s="3" t="s">
        <v>28</v>
      </c>
      <c r="E15" s="6">
        <v>-86183</v>
      </c>
    </row>
    <row r="16" spans="1:5" ht="27" customHeight="1" x14ac:dyDescent="0.6">
      <c r="A16" s="17" t="s">
        <v>34</v>
      </c>
      <c r="B16" s="4">
        <v>101155</v>
      </c>
      <c r="C16" s="3" t="s">
        <v>28</v>
      </c>
      <c r="D16" s="3" t="s">
        <v>28</v>
      </c>
      <c r="E16" s="6">
        <v>101155</v>
      </c>
    </row>
    <row r="17" spans="1:5" ht="27" customHeight="1" x14ac:dyDescent="0.6">
      <c r="A17" s="17" t="s">
        <v>35</v>
      </c>
      <c r="B17" s="7"/>
      <c r="C17" s="7"/>
      <c r="D17" s="7"/>
      <c r="E17" s="9"/>
    </row>
    <row r="18" spans="1:5" ht="54" customHeight="1" x14ac:dyDescent="0.6">
      <c r="A18" s="17" t="s">
        <v>36</v>
      </c>
      <c r="B18" s="4">
        <v>-57918</v>
      </c>
      <c r="C18" s="4">
        <v>-15554</v>
      </c>
      <c r="D18" s="3" t="s">
        <v>28</v>
      </c>
      <c r="E18" s="6">
        <v>-73472</v>
      </c>
    </row>
    <row r="19" spans="1:5" ht="27" x14ac:dyDescent="0.6">
      <c r="A19" s="17" t="s">
        <v>37</v>
      </c>
      <c r="B19" s="4">
        <v>-756356</v>
      </c>
      <c r="C19" s="4">
        <v>32360</v>
      </c>
      <c r="D19" s="4">
        <v>234780</v>
      </c>
      <c r="E19" s="6">
        <v>-489216</v>
      </c>
    </row>
    <row r="20" spans="1:5" ht="27" x14ac:dyDescent="0.6">
      <c r="A20" s="17" t="s">
        <v>38</v>
      </c>
      <c r="B20" s="4">
        <v>996981</v>
      </c>
      <c r="C20" s="4">
        <v>47152</v>
      </c>
      <c r="D20" s="4">
        <v>162352</v>
      </c>
      <c r="E20" s="6">
        <v>1206485</v>
      </c>
    </row>
    <row r="21" spans="1:5" x14ac:dyDescent="0.6">
      <c r="A21" s="17" t="s">
        <v>39</v>
      </c>
      <c r="B21" s="7"/>
      <c r="C21" s="7"/>
      <c r="D21" s="7"/>
      <c r="E21" s="9"/>
    </row>
    <row r="22" spans="1:5" ht="54" customHeight="1" x14ac:dyDescent="0.6">
      <c r="A22" s="17" t="s">
        <v>40</v>
      </c>
      <c r="B22" s="4">
        <v>4927634</v>
      </c>
      <c r="C22" s="3" t="s">
        <v>28</v>
      </c>
      <c r="D22" s="3" t="s">
        <v>28</v>
      </c>
      <c r="E22" s="6">
        <v>4927634</v>
      </c>
    </row>
    <row r="23" spans="1:5" ht="27" x14ac:dyDescent="0.6">
      <c r="A23" s="17" t="s">
        <v>41</v>
      </c>
      <c r="B23" s="4">
        <v>-1177404</v>
      </c>
      <c r="C23" s="3" t="s">
        <v>28</v>
      </c>
      <c r="D23" s="3" t="s">
        <v>28</v>
      </c>
      <c r="E23" s="6">
        <v>-1177404</v>
      </c>
    </row>
    <row r="24" spans="1:5" ht="54" x14ac:dyDescent="0.6">
      <c r="A24" s="17" t="s">
        <v>42</v>
      </c>
      <c r="B24" s="4">
        <v>-3524204</v>
      </c>
      <c r="C24" s="3" t="s">
        <v>28</v>
      </c>
      <c r="D24" s="3" t="s">
        <v>28</v>
      </c>
      <c r="E24" s="6">
        <v>-3524204</v>
      </c>
    </row>
    <row r="25" spans="1:5" ht="27" x14ac:dyDescent="0.6">
      <c r="A25" s="17" t="s">
        <v>43</v>
      </c>
      <c r="B25" s="4">
        <v>226026</v>
      </c>
      <c r="C25" s="3" t="s">
        <v>28</v>
      </c>
      <c r="D25" s="3" t="s">
        <v>28</v>
      </c>
      <c r="E25" s="6">
        <v>226026</v>
      </c>
    </row>
    <row r="26" spans="1:5" ht="54" customHeight="1" x14ac:dyDescent="0.6">
      <c r="A26" s="17" t="s">
        <v>44</v>
      </c>
      <c r="B26" s="3">
        <v>100</v>
      </c>
      <c r="C26" s="3" t="s">
        <v>28</v>
      </c>
      <c r="D26" s="3" t="s">
        <v>28</v>
      </c>
      <c r="E26" s="5">
        <v>100</v>
      </c>
    </row>
    <row r="27" spans="1:5" ht="54" customHeight="1" x14ac:dyDescent="0.6">
      <c r="A27" s="18" t="s">
        <v>45</v>
      </c>
      <c r="B27" s="10">
        <v>12766186</v>
      </c>
      <c r="C27" s="10">
        <v>1536654</v>
      </c>
      <c r="D27" s="10">
        <v>9217614</v>
      </c>
      <c r="E27" s="11">
        <v>23520454</v>
      </c>
    </row>
    <row r="28" spans="1:5" ht="54" customHeight="1" x14ac:dyDescent="0.6"/>
    <row r="31" spans="1:5" ht="40.5" customHeight="1" x14ac:dyDescent="0.6"/>
    <row r="32" spans="1:5" ht="40.5" customHeight="1" x14ac:dyDescent="0.6"/>
    <row r="39" ht="27" customHeight="1" x14ac:dyDescent="0.6"/>
    <row r="40" ht="27" customHeight="1" x14ac:dyDescent="0.6"/>
    <row r="41" ht="27" customHeight="1" x14ac:dyDescent="0.6"/>
    <row r="55" ht="27" customHeight="1" x14ac:dyDescent="0.6"/>
    <row r="56" ht="27" customHeight="1" x14ac:dyDescent="0.6"/>
    <row r="57" ht="27" customHeight="1" x14ac:dyDescent="0.6"/>
    <row r="58" ht="54" customHeight="1" x14ac:dyDescent="0.6"/>
    <row r="62" ht="54" customHeight="1" x14ac:dyDescent="0.6"/>
    <row r="66" ht="54" customHeight="1" x14ac:dyDescent="0.6"/>
    <row r="67" ht="54" customHeight="1" x14ac:dyDescent="0.6"/>
    <row r="68" ht="54" customHeight="1" x14ac:dyDescent="0.6"/>
    <row r="71" ht="40.5" customHeight="1" x14ac:dyDescent="0.6"/>
    <row r="72" ht="40.5" customHeight="1" x14ac:dyDescent="0.6"/>
    <row r="79" ht="27" customHeight="1" x14ac:dyDescent="0.6"/>
    <row r="80" ht="27" customHeight="1" x14ac:dyDescent="0.6"/>
    <row r="81" ht="27" customHeight="1" x14ac:dyDescent="0.6"/>
  </sheetData>
  <mergeCells count="3">
    <mergeCell ref="D6:D7"/>
    <mergeCell ref="E6:E7"/>
    <mergeCell ref="A6:A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부문별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조상욱(Sang Wook Cho)</dc:creator>
  <cp:lastModifiedBy>조상욱(Sang Wook Cho)</cp:lastModifiedBy>
  <dcterms:created xsi:type="dcterms:W3CDTF">2026-06-01T13:19:41Z</dcterms:created>
  <dcterms:modified xsi:type="dcterms:W3CDTF">2026-06-04T13:49:13Z</dcterms:modified>
</cp:coreProperties>
</file>